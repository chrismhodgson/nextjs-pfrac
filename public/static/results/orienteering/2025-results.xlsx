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pivotTables/_rels/pivotTable2.xml.rels" ContentType="application/vnd.openxmlformats-package.relationships+xml"/>
  <Override PartName="/xl/pivotTables/_rels/pivotTable1.xml.rels" ContentType="application/vnd.openxmlformats-package.relationship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1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pivotCache/pivotCacheDefinition1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_rels/pivotCacheDefinition2.xml.rels" ContentType="application/vnd.openxmlformats-package.relationships+xml"/>
  <Override PartName="/xl/pivotCache/_rels/pivotCacheDefinition1.xml.rels" ContentType="application/vnd.openxmlformats-package.relationships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Final scores" sheetId="1" state="visible" r:id="rId3"/>
    <sheet name="Elsecar" sheetId="2" state="visible" r:id="rId4"/>
    <sheet name="Hartcliff" sheetId="3" state="visible" r:id="rId5"/>
    <sheet name="Broomhead" sheetId="4" state="visible" r:id="rId6"/>
    <sheet name="Hugset" sheetId="5" state="visible" r:id="rId7"/>
    <sheet name="Langsett" sheetId="6" state="visible" r:id="rId8"/>
    <sheet name="Winscar" sheetId="7" state="visible" r:id="rId9"/>
    <sheet name="Bradfield" sheetId="8" state="visible" r:id="rId10"/>
    <sheet name="Denby" sheetId="9" state="visible" r:id="rId11"/>
    <sheet name="Sheet3" sheetId="10" state="hidden" r:id="rId12"/>
    <sheet name="scores" sheetId="11" state="hidden" r:id="rId13"/>
    <sheet name="Sheet6" sheetId="12" state="hidden" r:id="rId14"/>
  </sheets>
  <calcPr iterateCount="100" refMode="A1" iterate="false" iterateDelta="0.0001"/>
  <pivotCaches>
    <pivotCache cacheId="1" r:id="rId16"/>
    <pivotCache cacheId="2" r:id="rId17"/>
  </pivotCaches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<sst xmlns="http://schemas.openxmlformats.org/spreadsheetml/2006/main" count="3729" uniqueCount="491">
  <si>
    <t xml:space="preserve">Runner</t>
  </si>
  <si>
    <t xml:space="preserve">Bradfield</t>
  </si>
  <si>
    <t xml:space="preserve">Broomhead</t>
  </si>
  <si>
    <t xml:space="preserve">Denby</t>
  </si>
  <si>
    <t xml:space="preserve">Elsecar</t>
  </si>
  <si>
    <t xml:space="preserve">Hartcliff</t>
  </si>
  <si>
    <t xml:space="preserve">Hugset</t>
  </si>
  <si>
    <t xml:space="preserve">Langsett</t>
  </si>
  <si>
    <t xml:space="preserve">Winscar</t>
  </si>
  <si>
    <t xml:space="preserve">Best 6</t>
  </si>
  <si>
    <t xml:space="preserve">Jon Hallam</t>
  </si>
  <si>
    <t xml:space="preserve">Shaun Swallow</t>
  </si>
  <si>
    <t xml:space="preserve">Jemma Williams</t>
  </si>
  <si>
    <t xml:space="preserve">Chris Baldwin</t>
  </si>
  <si>
    <t xml:space="preserve">Gemma Nutton</t>
  </si>
  <si>
    <t xml:space="preserve">Steve Dickinson</t>
  </si>
  <si>
    <t xml:space="preserve">Dean Allcroft</t>
  </si>
  <si>
    <t xml:space="preserve">Alan Knox</t>
  </si>
  <si>
    <t xml:space="preserve">Jill Scrivens</t>
  </si>
  <si>
    <t xml:space="preserve">Tom Fryers</t>
  </si>
  <si>
    <t xml:space="preserve">Nick Whittingham</t>
  </si>
  <si>
    <t xml:space="preserve">Stu Smith</t>
  </si>
  <si>
    <t xml:space="preserve">Matthew Coldwell</t>
  </si>
  <si>
    <t xml:space="preserve">Paul Fryers</t>
  </si>
  <si>
    <t xml:space="preserve">Dommett Steve</t>
  </si>
  <si>
    <t xml:space="preserve">Rogers Flynn</t>
  </si>
  <si>
    <t xml:space="preserve">Helen Fryers</t>
  </si>
  <si>
    <t xml:space="preserve">Raymond Brown</t>
  </si>
  <si>
    <t xml:space="preserve">Andrea Henson</t>
  </si>
  <si>
    <t xml:space="preserve">James Fryers</t>
  </si>
  <si>
    <t xml:space="preserve">Anthony Wright</t>
  </si>
  <si>
    <t xml:space="preserve">Heather Lindley</t>
  </si>
  <si>
    <t xml:space="preserve">Michael Nicholson</t>
  </si>
  <si>
    <t xml:space="preserve">Lesley Parker</t>
  </si>
  <si>
    <t xml:space="preserve">Sarah Jones-Morris</t>
  </si>
  <si>
    <t xml:space="preserve">Sarah Halstead</t>
  </si>
  <si>
    <t xml:space="preserve">Ian Wragg</t>
  </si>
  <si>
    <t xml:space="preserve">Myfanwy Cross</t>
  </si>
  <si>
    <t xml:space="preserve">Mark Crossley</t>
  </si>
  <si>
    <t xml:space="preserve">Mark Pearce</t>
  </si>
  <si>
    <t xml:space="preserve">Jon Hallam (Rev10)</t>
  </si>
  <si>
    <t xml:space="preserve">Jill Davis</t>
  </si>
  <si>
    <t xml:space="preserve">Sue Hall</t>
  </si>
  <si>
    <t xml:space="preserve">Dave Lovatt</t>
  </si>
  <si>
    <t xml:space="preserve">Kent Swanson</t>
  </si>
  <si>
    <t xml:space="preserve">Martyn Goodwin</t>
  </si>
  <si>
    <t xml:space="preserve">Steve Dommett</t>
  </si>
  <si>
    <t xml:space="preserve">Susan Charlesworth</t>
  </si>
  <si>
    <t xml:space="preserve">Lisa Hinchliffe</t>
  </si>
  <si>
    <t xml:space="preserve">Jill Davis (Rev30)</t>
  </si>
  <si>
    <t xml:space="preserve">Valentina Wright</t>
  </si>
  <si>
    <t xml:space="preserve">Ben Wilkinson</t>
  </si>
  <si>
    <t xml:space="preserve">John Lawcock</t>
  </si>
  <si>
    <t xml:space="preserve">Rachael Winterbottom</t>
  </si>
  <si>
    <t xml:space="preserve">Shelley Gill</t>
  </si>
  <si>
    <t xml:space="preserve">Jen Holley</t>
  </si>
  <si>
    <t xml:space="preserve">Sara Wolstenholme</t>
  </si>
  <si>
    <t xml:space="preserve">Stefan Butler-Gillen</t>
  </si>
  <si>
    <t xml:space="preserve">Mandy Helliwell</t>
  </si>
  <si>
    <t xml:space="preserve">No</t>
  </si>
  <si>
    <t xml:space="preserve">FirstName</t>
  </si>
  <si>
    <t xml:space="preserve">Surname</t>
  </si>
  <si>
    <t xml:space="preserve">Controls</t>
  </si>
  <si>
    <t xml:space="preserve">Time</t>
  </si>
  <si>
    <t xml:space="preserve">GrossPoints</t>
  </si>
  <si>
    <t xml:space="preserve">NetPoints</t>
  </si>
  <si>
    <t xml:space="preserve">Km</t>
  </si>
  <si>
    <t xml:space="preserve">OverallPosition</t>
  </si>
  <si>
    <t xml:space="preserve">AgeCatPosition</t>
  </si>
  <si>
    <t xml:space="preserve">RunDate</t>
  </si>
  <si>
    <t xml:space="preserve">RunnerId</t>
  </si>
  <si>
    <t xml:space="preserve">Tom</t>
  </si>
  <si>
    <t xml:space="preserve">Fryers</t>
  </si>
  <si>
    <t xml:space="preserve">11;21;12;13;04;22;14;15;16;23;01;03;02</t>
  </si>
  <si>
    <t xml:space="preserve">SM:1</t>
  </si>
  <si>
    <t xml:space="preserve">M20-24:1</t>
  </si>
  <si>
    <t xml:space="preserve">Rogers</t>
  </si>
  <si>
    <t xml:space="preserve">Flynn</t>
  </si>
  <si>
    <t xml:space="preserve">JM:1</t>
  </si>
  <si>
    <t xml:space="preserve">M15-19:1</t>
  </si>
  <si>
    <t xml:space="preserve">Anthony</t>
  </si>
  <si>
    <t xml:space="preserve">Wright</t>
  </si>
  <si>
    <t xml:space="preserve">03;01;23;16;15;14;22;04;13;12;21;11;02</t>
  </si>
  <si>
    <t xml:space="preserve">SM:2</t>
  </si>
  <si>
    <t xml:space="preserve">M55-59:1</t>
  </si>
  <si>
    <t xml:space="preserve">Jon</t>
  </si>
  <si>
    <t xml:space="preserve">Hallam</t>
  </si>
  <si>
    <t xml:space="preserve">SM:3</t>
  </si>
  <si>
    <t xml:space="preserve">M45-49:1</t>
  </si>
  <si>
    <t xml:space="preserve">Shaun</t>
  </si>
  <si>
    <t xml:space="preserve">Swallow</t>
  </si>
  <si>
    <t xml:space="preserve">11;21;12;13;04;22;14;16;15;23;01;03;02</t>
  </si>
  <si>
    <t xml:space="preserve">SM:4</t>
  </si>
  <si>
    <t xml:space="preserve">M55-59:2</t>
  </si>
  <si>
    <t xml:space="preserve">James</t>
  </si>
  <si>
    <t xml:space="preserve">SM:5</t>
  </si>
  <si>
    <t xml:space="preserve">M20-24:2</t>
  </si>
  <si>
    <t xml:space="preserve">SM:6</t>
  </si>
  <si>
    <t xml:space="preserve">M45-49:2</t>
  </si>
  <si>
    <t xml:space="preserve">Jemma</t>
  </si>
  <si>
    <t xml:space="preserve">Williams</t>
  </si>
  <si>
    <t xml:space="preserve">SW:1</t>
  </si>
  <si>
    <t xml:space="preserve">W40-44:1</t>
  </si>
  <si>
    <t xml:space="preserve">Chris</t>
  </si>
  <si>
    <t xml:space="preserve">Baldwin</t>
  </si>
  <si>
    <t xml:space="preserve">SM:7</t>
  </si>
  <si>
    <t xml:space="preserve">M40-44:1</t>
  </si>
  <si>
    <t xml:space="preserve">Dean</t>
  </si>
  <si>
    <t xml:space="preserve">Allcroft</t>
  </si>
  <si>
    <t xml:space="preserve">11;21;12;13;04;22;14;15;16;23;01;03</t>
  </si>
  <si>
    <t xml:space="preserve">SM:8</t>
  </si>
  <si>
    <t xml:space="preserve">M55-59:3</t>
  </si>
  <si>
    <t xml:space="preserve">JM:2</t>
  </si>
  <si>
    <t xml:space="preserve">M15-19:2</t>
  </si>
  <si>
    <t xml:space="preserve">Michael</t>
  </si>
  <si>
    <t xml:space="preserve">Nicholson</t>
  </si>
  <si>
    <t xml:space="preserve">11;21;12;13;04;22;14;15;23;01;03;02</t>
  </si>
  <si>
    <t xml:space="preserve">SM:9</t>
  </si>
  <si>
    <t xml:space="preserve">M50-54:1</t>
  </si>
  <si>
    <t xml:space="preserve">Steve</t>
  </si>
  <si>
    <t xml:space="preserve">Dickinson</t>
  </si>
  <si>
    <t xml:space="preserve">SM:10</t>
  </si>
  <si>
    <t xml:space="preserve">M60-64:1</t>
  </si>
  <si>
    <t xml:space="preserve">Jill</t>
  </si>
  <si>
    <t xml:space="preserve">Scrivens</t>
  </si>
  <si>
    <t xml:space="preserve">SW:2</t>
  </si>
  <si>
    <t xml:space="preserve">W55-59:1</t>
  </si>
  <si>
    <t xml:space="preserve">Gemma</t>
  </si>
  <si>
    <t xml:space="preserve">Nutton</t>
  </si>
  <si>
    <t xml:space="preserve">SW:3</t>
  </si>
  <si>
    <t xml:space="preserve">W30-34:1</t>
  </si>
  <si>
    <t xml:space="preserve">Paul</t>
  </si>
  <si>
    <t xml:space="preserve">11;21;12;13;04;22;14;16;15;23;01</t>
  </si>
  <si>
    <t xml:space="preserve">SM:11</t>
  </si>
  <si>
    <t xml:space="preserve">M55-59:4</t>
  </si>
  <si>
    <t xml:space="preserve">Alan</t>
  </si>
  <si>
    <t xml:space="preserve">Knox</t>
  </si>
  <si>
    <t xml:space="preserve">11;21;12;13;04;22;14;23;01;03;02</t>
  </si>
  <si>
    <t xml:space="preserve">SM:12</t>
  </si>
  <si>
    <t xml:space="preserve">M70-74:1</t>
  </si>
  <si>
    <t xml:space="preserve">SM:13</t>
  </si>
  <si>
    <t xml:space="preserve">M55-59:5</t>
  </si>
  <si>
    <t xml:space="preserve">SM:14</t>
  </si>
  <si>
    <t xml:space="preserve">M55-59:6</t>
  </si>
  <si>
    <t xml:space="preserve">SM:15</t>
  </si>
  <si>
    <t xml:space="preserve">M40-44:2</t>
  </si>
  <si>
    <t xml:space="preserve">Matthew</t>
  </si>
  <si>
    <t xml:space="preserve">Coldwell</t>
  </si>
  <si>
    <t xml:space="preserve">02;11;21;12;13;04;22;14;23;01;03</t>
  </si>
  <si>
    <t xml:space="preserve">SM:16</t>
  </si>
  <si>
    <t xml:space="preserve">M50-54:2</t>
  </si>
  <si>
    <t xml:space="preserve">SM:17</t>
  </si>
  <si>
    <t xml:space="preserve">M60-64:2</t>
  </si>
  <si>
    <t xml:space="preserve">03;23;16;15;14;13;12;21;11;02</t>
  </si>
  <si>
    <t xml:space="preserve">SM:18</t>
  </si>
  <si>
    <t xml:space="preserve">M55-59:7</t>
  </si>
  <si>
    <t xml:space="preserve">11;21;12;13;04;22;14;23;01;03</t>
  </si>
  <si>
    <t xml:space="preserve">SM:19</t>
  </si>
  <si>
    <t xml:space="preserve">M70-74:2</t>
  </si>
  <si>
    <t xml:space="preserve">11;21;12;13;04;22;23;01;03;02</t>
  </si>
  <si>
    <t xml:space="preserve">SM:20</t>
  </si>
  <si>
    <t xml:space="preserve">M55-59:8</t>
  </si>
  <si>
    <t xml:space="preserve">Helen</t>
  </si>
  <si>
    <t xml:space="preserve">03;01;15;16;14;22;04;13;12;21;11</t>
  </si>
  <si>
    <t xml:space="preserve">SM:21</t>
  </si>
  <si>
    <t xml:space="preserve">M55-59:9</t>
  </si>
  <si>
    <t xml:space="preserve">11;21;12;13;04;22;23;01;02</t>
  </si>
  <si>
    <t xml:space="preserve">SM:22</t>
  </si>
  <si>
    <t xml:space="preserve">M55-59:10</t>
  </si>
  <si>
    <t xml:space="preserve">Nick</t>
  </si>
  <si>
    <t xml:space="preserve">Whittingham</t>
  </si>
  <si>
    <t xml:space="preserve">02;11;21;12;13;04;22;23;01</t>
  </si>
  <si>
    <t xml:space="preserve">SM:23</t>
  </si>
  <si>
    <t xml:space="preserve">M70-74:3</t>
  </si>
  <si>
    <t xml:space="preserve">03;04;22;14;15;16;23;01;02;11</t>
  </si>
  <si>
    <t xml:space="preserve">SM:24</t>
  </si>
  <si>
    <t xml:space="preserve">M70-74:4</t>
  </si>
  <si>
    <t xml:space="preserve">Sarah</t>
  </si>
  <si>
    <t xml:space="preserve">Halstead</t>
  </si>
  <si>
    <t xml:space="preserve">02;11;21;12;13;04;22;03;01</t>
  </si>
  <si>
    <t xml:space="preserve">SW:4</t>
  </si>
  <si>
    <t xml:space="preserve">W55-59:2</t>
  </si>
  <si>
    <t xml:space="preserve">Ian</t>
  </si>
  <si>
    <t xml:space="preserve">Wragg</t>
  </si>
  <si>
    <t xml:space="preserve">SM:25</t>
  </si>
  <si>
    <t xml:space="preserve">M65-69:1</t>
  </si>
  <si>
    <t xml:space="preserve">Myfanwy</t>
  </si>
  <si>
    <t xml:space="preserve">Cross</t>
  </si>
  <si>
    <t xml:space="preserve">SW:5</t>
  </si>
  <si>
    <t xml:space="preserve">W40-44:2</t>
  </si>
  <si>
    <t xml:space="preserve">Stu</t>
  </si>
  <si>
    <t xml:space="preserve">Smith</t>
  </si>
  <si>
    <t xml:space="preserve">SM:26</t>
  </si>
  <si>
    <t xml:space="preserve">M70-74:5</t>
  </si>
  <si>
    <t xml:space="preserve">Dommett</t>
  </si>
  <si>
    <t xml:space="preserve">SM:27</t>
  </si>
  <si>
    <t xml:space="preserve">M60-64:3</t>
  </si>
  <si>
    <t xml:space="preserve">Raymond</t>
  </si>
  <si>
    <t xml:space="preserve">Brown</t>
  </si>
  <si>
    <t xml:space="preserve">SM:28</t>
  </si>
  <si>
    <t xml:space="preserve">M85-89:1</t>
  </si>
  <si>
    <t xml:space="preserve">03;04;22;14;15;16;23;01;02</t>
  </si>
  <si>
    <t xml:space="preserve">SM:29</t>
  </si>
  <si>
    <t xml:space="preserve">M60-64:4</t>
  </si>
  <si>
    <t xml:space="preserve">11;21;12;13;04;22;03;02</t>
  </si>
  <si>
    <t xml:space="preserve">SM:30</t>
  </si>
  <si>
    <t xml:space="preserve">M70-74:6</t>
  </si>
  <si>
    <t xml:space="preserve">11;13;04;22;14;23;01;03;02</t>
  </si>
  <si>
    <t xml:space="preserve">SM:31</t>
  </si>
  <si>
    <t xml:space="preserve">M70-74:7</t>
  </si>
  <si>
    <t xml:space="preserve">02;13;04;22;14;23;01;03</t>
  </si>
  <si>
    <t xml:space="preserve">SW:6</t>
  </si>
  <si>
    <t xml:space="preserve">W55-59:3</t>
  </si>
  <si>
    <t xml:space="preserve">SW:7</t>
  </si>
  <si>
    <t xml:space="preserve">W30-34:2</t>
  </si>
  <si>
    <t xml:space="preserve">SW:8</t>
  </si>
  <si>
    <t xml:space="preserve">W55-59:4</t>
  </si>
  <si>
    <t xml:space="preserve">SW:9</t>
  </si>
  <si>
    <t xml:space="preserve">W40-44:3</t>
  </si>
  <si>
    <t xml:space="preserve">Mark</t>
  </si>
  <si>
    <t xml:space="preserve">Crossley</t>
  </si>
  <si>
    <t xml:space="preserve">SM:32</t>
  </si>
  <si>
    <t xml:space="preserve">M40-44:3</t>
  </si>
  <si>
    <t xml:space="preserve">SM:33</t>
  </si>
  <si>
    <t xml:space="preserve">M50-54:3</t>
  </si>
  <si>
    <t xml:space="preserve">02;11;21;12;13;04;03</t>
  </si>
  <si>
    <t xml:space="preserve">SM:34</t>
  </si>
  <si>
    <t xml:space="preserve">M70-74:8</t>
  </si>
  <si>
    <t xml:space="preserve">SM:35</t>
  </si>
  <si>
    <t xml:space="preserve">M60-64:5</t>
  </si>
  <si>
    <t xml:space="preserve">SM:36</t>
  </si>
  <si>
    <t xml:space="preserve">M85-89:2</t>
  </si>
  <si>
    <t xml:space="preserve">SM:37</t>
  </si>
  <si>
    <t xml:space="preserve">M55-59:11</t>
  </si>
  <si>
    <t xml:space="preserve">11;21;12;13;04;22;14;23;01</t>
  </si>
  <si>
    <t xml:space="preserve">SW:10</t>
  </si>
  <si>
    <t xml:space="preserve">W30-34:3</t>
  </si>
  <si>
    <t xml:space="preserve">SW:11</t>
  </si>
  <si>
    <t xml:space="preserve">W55-59:5</t>
  </si>
  <si>
    <t xml:space="preserve">21;12;13;04;22;14;23;01;03;02;11</t>
  </si>
  <si>
    <t xml:space="preserve">SM:38</t>
  </si>
  <si>
    <t xml:space="preserve">M50-54:4</t>
  </si>
  <si>
    <t xml:space="preserve">SW:12</t>
  </si>
  <si>
    <t xml:space="preserve">W40-44:4</t>
  </si>
  <si>
    <t xml:space="preserve">Lisa</t>
  </si>
  <si>
    <t xml:space="preserve">Hinchliffe</t>
  </si>
  <si>
    <t xml:space="preserve">01;23;16;15;14;22;04;03;02;11</t>
  </si>
  <si>
    <t xml:space="preserve">SW:13</t>
  </si>
  <si>
    <t xml:space="preserve">W50-54:1</t>
  </si>
  <si>
    <t xml:space="preserve">22;21;03;15;16;23;02;14;13;04;01;11;12</t>
  </si>
  <si>
    <t xml:space="preserve">22;16;21;03;15;23;02;14;13;04;01;12;11</t>
  </si>
  <si>
    <t xml:space="preserve">22;16;21;03;15;23;02;14;13;04;01;11;12</t>
  </si>
  <si>
    <t xml:space="preserve">M45-49:3</t>
  </si>
  <si>
    <t xml:space="preserve">22;21;03;15;16;23;02;14;13;04;01;11</t>
  </si>
  <si>
    <t xml:space="preserve">22;23;16;21;03;15;02;14;13;04;01;11</t>
  </si>
  <si>
    <t xml:space="preserve">M45-49:4</t>
  </si>
  <si>
    <t xml:space="preserve">22;16;21;03;15;23;02;14;13;04;01;11</t>
  </si>
  <si>
    <t xml:space="preserve">11;12;01;04;13;14;02;23;15;03;21;22</t>
  </si>
  <si>
    <t xml:space="preserve">22;16;21;15;23;02;14;13;04;01;11;12</t>
  </si>
  <si>
    <t xml:space="preserve">22;23;16;21;03;15;02;14;13;04;01;12;11</t>
  </si>
  <si>
    <t xml:space="preserve">M45-49:5</t>
  </si>
  <si>
    <t xml:space="preserve">11;12;23;16;21;03;15;02;14;13;04;01</t>
  </si>
  <si>
    <t xml:space="preserve">11;01;04;13;14;02;15;03;21;16;23;12</t>
  </si>
  <si>
    <t xml:space="preserve">Kent</t>
  </si>
  <si>
    <t xml:space="preserve">Swanson</t>
  </si>
  <si>
    <t xml:space="preserve">M25-29:1</t>
  </si>
  <si>
    <t xml:space="preserve">Dave</t>
  </si>
  <si>
    <t xml:space="preserve">Lovatt</t>
  </si>
  <si>
    <t xml:space="preserve">M35-39:1</t>
  </si>
  <si>
    <t xml:space="preserve">01;04;13;14;02;15;03;21;16;23;12;11</t>
  </si>
  <si>
    <t xml:space="preserve">11;12;01;04;13;14;02;23;15;21;22</t>
  </si>
  <si>
    <t xml:space="preserve">22;16;21;03;15;02;14;23;12;11;02 (Extra)</t>
  </si>
  <si>
    <t xml:space="preserve">22;16;21;03;15;02;23;12;11;01</t>
  </si>
  <si>
    <t xml:space="preserve">01;11;12;23;02;15;03;21;16;22</t>
  </si>
  <si>
    <t xml:space="preserve">22;16;21;03;15;02;23;12;01;11</t>
  </si>
  <si>
    <t xml:space="preserve">22;16;21;03;15;02;23;12;11</t>
  </si>
  <si>
    <t xml:space="preserve">22;16;21;03;15;02;14;23;12;02 (Extra)</t>
  </si>
  <si>
    <t xml:space="preserve">11;12;23;15;03;21;16;22</t>
  </si>
  <si>
    <t xml:space="preserve">22;16;03;15;23;02;14;13;04;01</t>
  </si>
  <si>
    <t xml:space="preserve">22;16;21;03;15;23;12;11;01</t>
  </si>
  <si>
    <t xml:space="preserve">M55-59:12</t>
  </si>
  <si>
    <t xml:space="preserve">22;16;21;03;15;23;12;11;02</t>
  </si>
  <si>
    <t xml:space="preserve">M55-59:13</t>
  </si>
  <si>
    <t xml:space="preserve">22;16;15;23;02;14;13;04;01</t>
  </si>
  <si>
    <t xml:space="preserve">22;16;23;02;14;13;04;01;11</t>
  </si>
  <si>
    <t xml:space="preserve">01;11;12;16;21;22;23</t>
  </si>
  <si>
    <t xml:space="preserve">11;01;04;13;14;02;15;03;21;16;22</t>
  </si>
  <si>
    <t xml:space="preserve">M40-44:4</t>
  </si>
  <si>
    <t xml:space="preserve">22;16;23;02;14;13;04;01</t>
  </si>
  <si>
    <t xml:space="preserve">01;04;13;14;02;23;12;11</t>
  </si>
  <si>
    <t xml:space="preserve">22;16;23;12;11;01</t>
  </si>
  <si>
    <t xml:space="preserve">Davis</t>
  </si>
  <si>
    <t xml:space="preserve">W70-74:1</t>
  </si>
  <si>
    <t xml:space="preserve">11;12;23;16;22</t>
  </si>
  <si>
    <t xml:space="preserve">01;04;13;14;02;15;23;12</t>
  </si>
  <si>
    <t xml:space="preserve">01;04;13;14;02;15;03;21;23;12;11</t>
  </si>
  <si>
    <t xml:space="preserve">Valentina</t>
  </si>
  <si>
    <t xml:space="preserve">01;11;12;23;22;16;21;03;15;02;14;13;04;01 (Extra)</t>
  </si>
  <si>
    <t xml:space="preserve">John</t>
  </si>
  <si>
    <t xml:space="preserve">Lawcock</t>
  </si>
  <si>
    <t xml:space="preserve">M55-59:14</t>
  </si>
  <si>
    <t xml:space="preserve">Ben</t>
  </si>
  <si>
    <t xml:space="preserve">Wilkinson</t>
  </si>
  <si>
    <t xml:space="preserve">M25-29:2</t>
  </si>
  <si>
    <t xml:space="preserve">Rachael</t>
  </si>
  <si>
    <t xml:space="preserve">Winterbottom</t>
  </si>
  <si>
    <t xml:space="preserve">W25-29:1</t>
  </si>
  <si>
    <t xml:space="preserve">Shelley</t>
  </si>
  <si>
    <t xml:space="preserve">Gill</t>
  </si>
  <si>
    <t xml:space="preserve">SW:14</t>
  </si>
  <si>
    <t xml:space="preserve">W45-49:1</t>
  </si>
  <si>
    <t xml:space="preserve">22;16;15;23;02;14;13;04;01;11</t>
  </si>
  <si>
    <t xml:space="preserve">SW:15</t>
  </si>
  <si>
    <t xml:space="preserve">W55-59:6</t>
  </si>
  <si>
    <t xml:space="preserve">SW:17</t>
  </si>
  <si>
    <t xml:space="preserve">Sara</t>
  </si>
  <si>
    <t xml:space="preserve">Wolstenholme</t>
  </si>
  <si>
    <t xml:space="preserve">SW:16</t>
  </si>
  <si>
    <t xml:space="preserve">W50-54:2</t>
  </si>
  <si>
    <t xml:space="preserve">Stefan</t>
  </si>
  <si>
    <t xml:space="preserve">Butler-Gillen</t>
  </si>
  <si>
    <t xml:space="preserve">SM:39</t>
  </si>
  <si>
    <t xml:space="preserve">M35-39:2</t>
  </si>
  <si>
    <t xml:space="preserve">Jen</t>
  </si>
  <si>
    <t xml:space="preserve">Holley</t>
  </si>
  <si>
    <t xml:space="preserve">SW:18</t>
  </si>
  <si>
    <t xml:space="preserve">SW:19</t>
  </si>
  <si>
    <t xml:space="preserve">W40-44:5</t>
  </si>
  <si>
    <t xml:space="preserve">22;16;21;03;15;02;14;23;12;01;02 (Extra)</t>
  </si>
  <si>
    <t xml:space="preserve">SW:20</t>
  </si>
  <si>
    <t xml:space="preserve">W55-59:7</t>
  </si>
  <si>
    <t xml:space="preserve">SW:21</t>
  </si>
  <si>
    <t xml:space="preserve">W30-34:4</t>
  </si>
  <si>
    <t xml:space="preserve">SM:40</t>
  </si>
  <si>
    <t xml:space="preserve">M55-59:15</t>
  </si>
  <si>
    <t xml:space="preserve">06;14;15;04;03;07;13;12;02;05;21;11;01</t>
  </si>
  <si>
    <t xml:space="preserve">01;11;02;12;22;13;07;03;04;14;06</t>
  </si>
  <si>
    <t xml:space="preserve">01;11;02;12;22;13;07;03;04;14</t>
  </si>
  <si>
    <t xml:space="preserve">06;14;15;04;03;07;13;12;02;11;01</t>
  </si>
  <si>
    <t xml:space="preserve">06;14;15;04;03;07;13;12;11;01</t>
  </si>
  <si>
    <t xml:space="preserve">01;11;12;02;07;03;04;15;14;06;12 (Extra)</t>
  </si>
  <si>
    <t xml:space="preserve">14;04;03;07;13;12;02;05;11;01</t>
  </si>
  <si>
    <t xml:space="preserve">06;14;04;03;07;13;12;02;11;01</t>
  </si>
  <si>
    <t xml:space="preserve">01;11;02;12;07;03;15;04;06</t>
  </si>
  <si>
    <t xml:space="preserve">06;14;04;03;07;12;02;11;01</t>
  </si>
  <si>
    <t xml:space="preserve">01;11;02;12;07;03;04;06</t>
  </si>
  <si>
    <t xml:space="preserve">Pearce</t>
  </si>
  <si>
    <t xml:space="preserve">06;14;15;04;03;07;12</t>
  </si>
  <si>
    <t xml:space="preserve">01;11;05;21;02;12;07;03;04</t>
  </si>
  <si>
    <t xml:space="preserve">01;11;02;12;22;07;03;04;14</t>
  </si>
  <si>
    <t xml:space="preserve">14;03;07;12</t>
  </si>
  <si>
    <t xml:space="preserve">06;16</t>
  </si>
  <si>
    <t xml:space="preserve">01;11</t>
  </si>
  <si>
    <t xml:space="preserve">06;14;04;03;07;12;02;11</t>
  </si>
  <si>
    <t xml:space="preserve">06;14;03;07;12;02;11</t>
  </si>
  <si>
    <t xml:space="preserve">01;22;21;11;31;14;13;02;23;15;12</t>
  </si>
  <si>
    <t xml:space="preserve">01;21;22;11;31;14;13;02;23;15;12</t>
  </si>
  <si>
    <t xml:space="preserve">12;02;23;13;31;11;21;22;01</t>
  </si>
  <si>
    <t xml:space="preserve">12;02;23;13;31;11;21;22;01;02 (Extra);22 (Extra)</t>
  </si>
  <si>
    <t xml:space="preserve">01;22;21;11;31;13;23;02;12</t>
  </si>
  <si>
    <t xml:space="preserve">01;21;22;11;31;13;23;02;12</t>
  </si>
  <si>
    <t xml:space="preserve">12;02;23;13;31;11;22;01</t>
  </si>
  <si>
    <t xml:space="preserve">12;02;13;31;11;21;22;01</t>
  </si>
  <si>
    <t xml:space="preserve">01;22;21;11;31;13;02;12</t>
  </si>
  <si>
    <t xml:space="preserve">01;21;22;11;31;13;02;12</t>
  </si>
  <si>
    <t xml:space="preserve">12;23;02;13;31;11;22;01</t>
  </si>
  <si>
    <t xml:space="preserve">12;02;23;13;22;01;11;31</t>
  </si>
  <si>
    <t xml:space="preserve">12;02;23;13;31;11;22</t>
  </si>
  <si>
    <t xml:space="preserve">Martyn</t>
  </si>
  <si>
    <t xml:space="preserve">Goodwin</t>
  </si>
  <si>
    <t xml:space="preserve">01;22;11;31;14;13;12</t>
  </si>
  <si>
    <t xml:space="preserve">12;02;13;31;11;22;01</t>
  </si>
  <si>
    <t xml:space="preserve">Sue</t>
  </si>
  <si>
    <t xml:space="preserve">Hall</t>
  </si>
  <si>
    <t xml:space="preserve">01;22;11;31;13;14</t>
  </si>
  <si>
    <t xml:space="preserve">W65-69:1</t>
  </si>
  <si>
    <t xml:space="preserve">12;13;31;11;22</t>
  </si>
  <si>
    <t xml:space="preserve">01;22;11;31;13</t>
  </si>
  <si>
    <t xml:space="preserve">Andrea</t>
  </si>
  <si>
    <t xml:space="preserve">Henson</t>
  </si>
  <si>
    <t xml:space="preserve">M60-64:6</t>
  </si>
  <si>
    <t xml:space="preserve">W65-69:2</t>
  </si>
  <si>
    <t xml:space="preserve">01;13;02;23;15;12</t>
  </si>
  <si>
    <t xml:space="preserve">Heather</t>
  </si>
  <si>
    <t xml:space="preserve">Lindley</t>
  </si>
  <si>
    <t xml:space="preserve">01;11;31;13</t>
  </si>
  <si>
    <t xml:space="preserve">W60-64:1</t>
  </si>
  <si>
    <t xml:space="preserve">01;22;11;13</t>
  </si>
  <si>
    <t xml:space="preserve">12;15;23;02;13;31;11;22;01</t>
  </si>
  <si>
    <t xml:space="preserve">12;02;23;13;31;11</t>
  </si>
  <si>
    <t xml:space="preserve">22;21;01</t>
  </si>
  <si>
    <t xml:space="preserve">01;22;14</t>
  </si>
  <si>
    <t xml:space="preserve">W60-64:2</t>
  </si>
  <si>
    <t xml:space="preserve">W60-64:3</t>
  </si>
  <si>
    <t xml:space="preserve">12;02;23;13;14;31;13 (Extra);13 (Extra);02 (Extra);12 (Extra)</t>
  </si>
  <si>
    <t xml:space="preserve">15;01;21;22;11;23;14;16;24;12</t>
  </si>
  <si>
    <t xml:space="preserve">15;01;21;22;11;23;13;14;16;24;12</t>
  </si>
  <si>
    <t xml:space="preserve">01;15;21;22;11;23;13;24;12</t>
  </si>
  <si>
    <t xml:space="preserve">01;21;22;11;23;14;16;24;12</t>
  </si>
  <si>
    <t xml:space="preserve">15;01;21;22;11;23;13;12</t>
  </si>
  <si>
    <t xml:space="preserve">Lesley</t>
  </si>
  <si>
    <t xml:space="preserve">Parker</t>
  </si>
  <si>
    <t xml:space="preserve">01;15;21;22;11;23;14;13</t>
  </si>
  <si>
    <t xml:space="preserve">01;15;21;22;11;23;13;12</t>
  </si>
  <si>
    <t xml:space="preserve">15;01;21;22;11;23;13</t>
  </si>
  <si>
    <t xml:space="preserve">01;15;21;22;11;23;13</t>
  </si>
  <si>
    <t xml:space="preserve">Jones-Morris</t>
  </si>
  <si>
    <t xml:space="preserve">W50-54:3</t>
  </si>
  <si>
    <t xml:space="preserve">13;23;14;16;24;12</t>
  </si>
  <si>
    <t xml:space="preserve">13;14;16;24;12</t>
  </si>
  <si>
    <t xml:space="preserve">15;21;01;12</t>
  </si>
  <si>
    <t xml:space="preserve">12;13;01;15</t>
  </si>
  <si>
    <t xml:space="preserve">01;21;01 (Extra)</t>
  </si>
  <si>
    <t xml:space="preserve">15;01;21;22;11;23;01 (Extra)</t>
  </si>
  <si>
    <t xml:space="preserve">11;12;04;03;16;02;21;01;15;22;13;23;14;02 (Extra)</t>
  </si>
  <si>
    <t xml:space="preserve">04;01;21;02;15;22;13;16;03;12;11;14</t>
  </si>
  <si>
    <t xml:space="preserve">04;01;21;02;15;22;13;16;03;12;11</t>
  </si>
  <si>
    <t xml:space="preserve">04;03;16;13;22;15;02;21;01;12;11</t>
  </si>
  <si>
    <t xml:space="preserve">04;03;16;13;22;15;02;21;01;12;11;04 (Extra)</t>
  </si>
  <si>
    <t xml:space="preserve">11;12;01;21;02;15;22;13;16;03;04</t>
  </si>
  <si>
    <t xml:space="preserve">11;12;01;21;02;16;13;22;03;04;13 (Extra)</t>
  </si>
  <si>
    <t xml:space="preserve">14;23;22;13;16;03;04;12;11</t>
  </si>
  <si>
    <t xml:space="preserve">14;23;13;22;15;02;16;03;12;11</t>
  </si>
  <si>
    <t xml:space="preserve">14;11;12;01;21;02;15;16;03;04;02 (Extra)</t>
  </si>
  <si>
    <t xml:space="preserve">04;01;21;02;15;22;23;13;03;04 (Extra)</t>
  </si>
  <si>
    <t xml:space="preserve">11;12;04;03;16;13;22;23</t>
  </si>
  <si>
    <t xml:space="preserve">11;12;01;21;02;16;13;03;04</t>
  </si>
  <si>
    <t xml:space="preserve">14;23;22;13;16;03;01;04</t>
  </si>
  <si>
    <t xml:space="preserve">11;12;01;21;02;16;03;04</t>
  </si>
  <si>
    <t xml:space="preserve">11;12;04;03;16;13;23</t>
  </si>
  <si>
    <t xml:space="preserve">14;11;12;01;02;16;03;04</t>
  </si>
  <si>
    <t xml:space="preserve">11;12;01;02;16;03;04</t>
  </si>
  <si>
    <t xml:space="preserve">11;12;01;02;16;03;04;11 (Extra);12 (Extra);02 (Extra);16 (Extra);03 (Extra);04 (Extra)</t>
  </si>
  <si>
    <t xml:space="preserve">04;03;13;22;15;02;16;03 (Extra);04 (Extra)</t>
  </si>
  <si>
    <t xml:space="preserve">14;11;12;04</t>
  </si>
  <si>
    <t xml:space="preserve">14;23;16;03;04;11</t>
  </si>
  <si>
    <t xml:space="preserve">14;04</t>
  </si>
  <si>
    <t xml:space="preserve">14;23;16;02;15;01;04;02 (Extra)</t>
  </si>
  <si>
    <t xml:space="preserve">Mandy</t>
  </si>
  <si>
    <t xml:space="preserve">Helliwell</t>
  </si>
  <si>
    <t xml:space="preserve">14;23;16;02;15;01;04</t>
  </si>
  <si>
    <t xml:space="preserve">04;03;16;13;22;15;02;01;12;11</t>
  </si>
  <si>
    <t xml:space="preserve">22;12</t>
  </si>
  <si>
    <t xml:space="preserve">03;22;13;06;01;11;14;15;23;12;04;02</t>
  </si>
  <si>
    <t xml:space="preserve">01;06;13;21;11;14;15;23;12;04;02;06 (Extra)</t>
  </si>
  <si>
    <t xml:space="preserve">02;04;12;23;15;14;11;21;06;01</t>
  </si>
  <si>
    <t xml:space="preserve">01;06;21;11;14;15;23;12;04;02</t>
  </si>
  <si>
    <t xml:space="preserve">01;06;11;14;15;23;12;04;02;03;01 (Extra)</t>
  </si>
  <si>
    <t xml:space="preserve">02;04;12;23;15;14;11;06;01</t>
  </si>
  <si>
    <t xml:space="preserve">01;11;21;06;13;22;05;02</t>
  </si>
  <si>
    <t xml:space="preserve">02;04;12;23;15;14;01</t>
  </si>
  <si>
    <t xml:space="preserve">01;11;21;06;13;05</t>
  </si>
  <si>
    <t xml:space="preserve">01;06;13;21;11;14;23;12;04;02</t>
  </si>
  <si>
    <t xml:space="preserve">Hallam (Rev10)</t>
  </si>
  <si>
    <t xml:space="preserve">04;21;14;03;02;12;15;07;16;13;05;11;06;22;01</t>
  </si>
  <si>
    <t xml:space="preserve">04;21;14;02;12;15;07;16;13;05;11;06;22;01</t>
  </si>
  <si>
    <t xml:space="preserve">04;21;14;03;02;12;15;07;16;13;06;11;22;01</t>
  </si>
  <si>
    <t xml:space="preserve">04;21;14;03;15;07;16;13;05;11;06;22;01</t>
  </si>
  <si>
    <t xml:space="preserve">04;21;14;03;02;12;15;07;16;13;06;22;01</t>
  </si>
  <si>
    <t xml:space="preserve">22;06;11;05;13;16;07;15;03;14;21;04</t>
  </si>
  <si>
    <t xml:space="preserve">04;21;14;02;12;16;13;05;11;06;07;15;03;16 (Extra)</t>
  </si>
  <si>
    <t xml:space="preserve">04;21;14;03;02;12;15;07;16;13;05;11;06</t>
  </si>
  <si>
    <t xml:space="preserve">04;21;14;03;02;12;15;07;16;06;22;01</t>
  </si>
  <si>
    <t xml:space="preserve">04;21;14;03;02;12;15;07;16;06;11;22;01</t>
  </si>
  <si>
    <t xml:space="preserve">04;14;12;15;07;16;13;06;11;22;01</t>
  </si>
  <si>
    <t xml:space="preserve">04;21;14;03;02;12;16;06;07;22;01;16 (Extra)</t>
  </si>
  <si>
    <t xml:space="preserve">04;21;14;03;02;12;16;13;05;11;06;07;15</t>
  </si>
  <si>
    <t xml:space="preserve">04;21;14;03;02;12;16;13;05;11;06;07;15;16 (Extra)</t>
  </si>
  <si>
    <t xml:space="preserve">04;21;14;03;02;12;16;07;15</t>
  </si>
  <si>
    <t xml:space="preserve">04;21;01;22;07;16;15;03;04 (Extra)</t>
  </si>
  <si>
    <t xml:space="preserve">Susan</t>
  </si>
  <si>
    <t xml:space="preserve">Charlesworth</t>
  </si>
  <si>
    <t xml:space="preserve">01;22;06;16;07;15;03;02;04;03 (Extra)</t>
  </si>
  <si>
    <t xml:space="preserve">04;21;14;02;12;03;15</t>
  </si>
  <si>
    <t xml:space="preserve">01;22;06;16;07;15;03</t>
  </si>
  <si>
    <t xml:space="preserve">01;22;07;16;15;03;04</t>
  </si>
  <si>
    <t xml:space="preserve">04;21;14;02;12;03</t>
  </si>
  <si>
    <t xml:space="preserve">W60-64:4</t>
  </si>
  <si>
    <t xml:space="preserve">Davis (Rev30)</t>
  </si>
  <si>
    <t xml:space="preserve">01;22;06;07;15;03</t>
  </si>
  <si>
    <t xml:space="preserve">W70-74:2</t>
  </si>
  <si>
    <t xml:space="preserve">01</t>
  </si>
  <si>
    <t xml:space="preserve">04;21;14;03</t>
  </si>
  <si>
    <t xml:space="preserve">03;02;12;16;07;06;13;05;11;15;16 (Extra);06 (Extra);07 (Extra)</t>
  </si>
  <si>
    <t xml:space="preserve">04;21;14;03;15;16;06;11;16 (Extra);15 (Extra)</t>
  </si>
  <si>
    <t xml:space="preserve">04;21;14;02;16;07;13;05;11;06;22;15;03;16 (Extra);07 (Extra)</t>
  </si>
  <si>
    <t xml:space="preserve">04;21;14;03;02;12;16;06;13;05;11;07;01;22;15;06 (Extra);07 (Extra)</t>
  </si>
  <si>
    <t xml:space="preserve">Max of NetPoints</t>
  </si>
  <si>
    <t xml:space="preserve">Course</t>
  </si>
  <si>
    <t xml:space="preserve">Total Result</t>
  </si>
  <si>
    <t xml:space="preserve">Max. of NetPoints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</si>
</sst>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[h]:mm:ss"/>
    <numFmt numFmtId="166" formatCode="dd/mm/yyyy"/>
    <numFmt numFmtId="167" formatCode="hh:mm:ss"/>
    <numFmt numFmtId="168" formatCode="hh:mm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ptos Narrow"/>
      <family val="2"/>
      <charset val="1"/>
    </font>
    <font>
      <b val="true"/>
      <sz val="11"/>
      <color theme="1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rgb="FFFFFFCC"/>
      </patternFill>
    </fill>
  </fills>
  <borders count="3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thin"/>
      <top style="medium"/>
      <bottom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/>
      <right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medium"/>
      <top style="thin"/>
      <bottom/>
      <diagonal/>
    </border>
    <border diagonalUp="false" diagonalDown="false">
      <left style="medium"/>
      <right style="thin"/>
      <top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medium"/>
      <top/>
      <bottom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/>
      <right/>
      <top style="thin"/>
      <bottom style="medium"/>
      <diagonal/>
    </border>
    <border diagonalUp="false" diagonalDown="false">
      <left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/>
      <right style="medium"/>
      <top/>
      <bottom style="thin"/>
      <diagonal/>
    </border>
    <border diagonalUp="false" diagonalDown="false">
      <left/>
      <right style="medium"/>
      <top style="thin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 style="thin"/>
      <top/>
      <bottom style="medium"/>
      <diagonal/>
    </border>
    <border diagonalUp="false" diagonalDown="false">
      <left style="thin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</borders>
  <cellStyleXfs count="28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left" vertical="bottom" textRotation="0" wrapText="false" indent="0" shrinkToFit="false"/>
    </xf>
    <xf numFmtId="164" fontId="5" fillId="0" borderId="0" applyFont="true" applyBorder="false" applyAlignment="true" applyProtection="false">
      <alignment horizontal="left" vertical="bottom" textRotation="0" wrapText="false" indent="0" shrinkToFit="false"/>
    </xf>
    <xf numFmtId="164" fontId="5" fillId="0" borderId="0" applyFont="true" applyBorder="false" applyAlignment="true" applyProtection="false">
      <alignment horizontal="general" vertical="bottom" textRotation="0" wrapText="false" indent="0" shrinkToFit="false"/>
    </xf>
  </cellStyleXfs>
  <cellXfs count="5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24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" xfId="22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" xfId="22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6" xfId="24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7" xfId="25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8" xfId="25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5" fillId="0" borderId="9" xfId="26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0" xfId="25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1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2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3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4" xfId="27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5" xfId="25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6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23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7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8" xfId="27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7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9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0" xfId="27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1" xfId="26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5" fillId="0" borderId="22" xfId="27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3" xfId="27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4" xfId="27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5" xfId="27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6" xfId="25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27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8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9" xfId="25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30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1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2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14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  <cellStyle name="Normal 3" xfId="21"/>
    <cellStyle name="Pivot Table Corner" xfId="22"/>
    <cellStyle name="Pivot Table Value" xfId="23"/>
    <cellStyle name="Pivot Table Field" xfId="24"/>
    <cellStyle name="Pivot Table Category" xfId="25"/>
    <cellStyle name="Pivot Table Title" xfId="26"/>
    <cellStyle name="Pivot Table Result" xfId="27"/>
  </cellStyles>
  <dxfs count="2"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<Relationship Id="rId16" Type="http://schemas.openxmlformats.org/officeDocument/2006/relationships/pivotCacheDefinition" Target="pivotCache/pivotCacheDefinition1.xml"/><Relationship Id="rId17" Type="http://schemas.openxmlformats.org/officeDocument/2006/relationships/pivotCacheDefinition" Target="pivotCache/pivotCacheDefinition2.xml"/>
</Relationships>
</file>

<file path=xl/pivotCache/_rels/pivotCacheDefinition1.xml.rels><?xml version="1.0" encoding="UTF-8"?>
<Relationships xmlns="http://schemas.openxmlformats.org/package/2006/relationships"><Relationship Id="rId1" Type="http://schemas.openxmlformats.org/officeDocument/2006/relationships/pivotCacheRecords" Target="pivotCacheRecords1.xml"/>
</Relationships>
</file>

<file path=xl/pivotCache/_rels/pivotCacheDefinition2.xml.rels><?xml version="1.0" encoding="UTF-8"?>
<Relationships xmlns="http://schemas.openxmlformats.org/package/2006/relationships"><Relationship Id="rId1" Type="http://schemas.openxmlformats.org/officeDocument/2006/relationships/pivotCacheRecords" Target="pivotCacheRecords2.xml"/>
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313" createdVersion="3">
  <cacheSource type="worksheet">
    <worksheetSource ref="A1:N314" sheet="scores"/>
  </cacheSource>
  <cacheFields count="14">
    <cacheField name="No" numFmtId="0">
      <sharedItems containsSemiMixedTypes="0" containsString="0" containsNumber="1" containsInteger="1" minValue="1" maxValue="62" count="62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</sharedItems>
    </cacheField>
    <cacheField name="FirstName" numFmtId="0">
      <sharedItems count="43">
        <s v="Alan"/>
        <s v="Andrea"/>
        <s v="Anthony"/>
        <s v="Ben"/>
        <s v="Chris"/>
        <s v="Dave"/>
        <s v="Dean"/>
        <s v="Dommett"/>
        <s v="Gemma"/>
        <s v="Heather"/>
        <s v="Helen"/>
        <s v="Ian"/>
        <s v="James"/>
        <s v="Jemma"/>
        <s v="Jen"/>
        <s v="Jill"/>
        <s v="John"/>
        <s v="Jon"/>
        <s v="Kent"/>
        <s v="Lesley"/>
        <s v="Lisa"/>
        <s v="Mandy"/>
        <s v="Mark"/>
        <s v="Martyn"/>
        <s v="Matthew"/>
        <s v="Michael"/>
        <s v="Myfanwy"/>
        <s v="Nick"/>
        <s v="Paul"/>
        <s v="Rachael"/>
        <s v="Raymond"/>
        <s v="Rogers"/>
        <s v="Sara"/>
        <s v="Sarah"/>
        <s v="Shaun"/>
        <s v="Shelley"/>
        <s v="Stefan"/>
        <s v="Steve"/>
        <s v="Stu"/>
        <s v="Sue"/>
        <s v="Susan"/>
        <s v="Tom"/>
        <s v="Valentina"/>
      </sharedItems>
    </cacheField>
    <cacheField name="Surname" numFmtId="0">
      <sharedItems count="45">
        <s v="Allcroft"/>
        <s v="Baldwin"/>
        <s v="Brown"/>
        <s v="Butler-Gillen"/>
        <s v="Charlesworth"/>
        <s v="Coldwell"/>
        <s v="Cross"/>
        <s v="Crossley"/>
        <s v="Davis"/>
        <s v="Davis (Rev30)"/>
        <s v="Dickinson"/>
        <s v="Dommett"/>
        <s v="Flynn"/>
        <s v="Fryers"/>
        <s v="Gill"/>
        <s v="Goodwin"/>
        <s v="Hall"/>
        <s v="Hallam"/>
        <s v="Hallam (Rev10)"/>
        <s v="Halstead"/>
        <s v="Helliwell"/>
        <s v="Henson"/>
        <s v="Hinchliffe"/>
        <s v="Holley"/>
        <s v="Jones-Morris"/>
        <s v="Knox"/>
        <s v="Lawcock"/>
        <s v="Lindley"/>
        <s v="Lovatt"/>
        <s v="Nicholson"/>
        <s v="Nutton"/>
        <s v="Parker"/>
        <s v="Pearce"/>
        <s v="Scrivens"/>
        <s v="Smith"/>
        <s v="Steve"/>
        <s v="Swallow"/>
        <s v="Swanson"/>
        <s v="Whittingham"/>
        <s v="Wilkinson"/>
        <s v="Williams"/>
        <s v="Winterbottom"/>
        <s v="Wolstenholme"/>
        <s v="Wragg"/>
        <s v="Wright"/>
      </sharedItems>
    </cacheField>
    <cacheField name="Controls" numFmtId="0">
      <sharedItems count="185">
        <s v="01"/>
        <s v="01;04;13;14;02;15;03;21;16;23;12;11"/>
        <s v="01;04;13;14;02;15;03;21;23;12;11"/>
        <s v="01;04;13;14;02;15;23;12"/>
        <s v="01;04;13;14;02;23;12;11"/>
        <s v="01;06;11;14;15;23;12;04;02;03;01 (Extra)"/>
        <s v="01;06;13;21;11;14;15;23;12;04;02;06 (Extra)"/>
        <s v="01;06;13;21;11;14;23;12;04;02"/>
        <s v="01;06;21;11;14;15;23;12;04;02"/>
        <s v="01;11"/>
        <s v="01;11;02;12;07;03;04;06"/>
        <s v="01;11;02;12;07;03;15;04;06"/>
        <s v="01;11;02;12;22;07;03;04;14"/>
        <s v="01;11;02;12;22;13;07;03;04;14"/>
        <s v="01;11;02;12;22;13;07;03;04;14;06"/>
        <s v="01;11;05;21;02;12;07;03;04"/>
        <s v="01;11;12;02;07;03;04;15;14;06;12 (Extra)"/>
        <s v="01;11;12;16;21;22;23"/>
        <s v="01;11;12;23;02;15;03;21;16;22"/>
        <s v="01;11;12;23;22;16;21;03;15;02;14;13;04;01 (Extra)"/>
        <s v="01;11;21;06;13;05"/>
        <s v="01;11;21;06;13;22;05;02"/>
        <s v="01;11;31;13"/>
        <s v="01;13;02;23;15;12"/>
        <s v="01;15;21;22;11;23;13"/>
        <s v="01;15;21;22;11;23;13;12"/>
        <s v="01;15;21;22;11;23;13;24;12"/>
        <s v="01;15;21;22;11;23;14;13"/>
        <s v="01;21;01 (Extra)"/>
        <s v="01;21;22;11;23;14;16;24;12"/>
        <s v="01;21;22;11;31;13;02;12"/>
        <s v="01;21;22;11;31;13;23;02;12"/>
        <s v="01;21;22;11;31;14;13;02;23;15;12"/>
        <s v="01;22;06;07;15;03"/>
        <s v="01;22;06;16;07;15;03"/>
        <s v="01;22;06;16;07;15;03;02;04;03 (Extra)"/>
        <s v="01;22;07;16;15;03;04"/>
        <s v="01;22;11;13"/>
        <s v="01;22;11;31;13"/>
        <s v="01;22;11;31;13;14"/>
        <s v="01;22;11;31;14;13;12"/>
        <s v="01;22;14"/>
        <s v="01;22;21;11;31;13;02;12"/>
        <s v="01;22;21;11;31;13;23;02;12"/>
        <s v="01;22;21;11;31;14;13;02;23;15;12"/>
        <s v="01;23;16;15;14;22;04;03;02;11"/>
        <s v="02;04;12;23;15;14;01"/>
        <s v="02;04;12;23;15;14;11;06;01"/>
        <s v="02;04;12;23;15;14;11;21;06;01"/>
        <s v="02;11;21;12;13;04;03"/>
        <s v="02;11;21;12;13;04;22;03;01"/>
        <s v="02;11;21;12;13;04;22;14;23;01;03"/>
        <s v="02;11;21;12;13;04;22;23;01"/>
        <s v="02;13;04;22;14;23;01;03"/>
        <s v="03;01;15;16;14;22;04;13;12;21;11"/>
        <s v="03;01;23;16;15;14;22;04;13;12;21;11;02"/>
        <s v="03;02;12;16;07;06;13;05;11;15;16 (Extra);06 (Extra);07 (Extra)"/>
        <s v="03;04;22;14;15;16;23;01;02"/>
        <s v="03;04;22;14;15;16;23;01;02;11"/>
        <s v="03;22;13;06;01;11;14;15;23;12;04;02"/>
        <s v="03;23;16;15;14;13;12;21;11;02"/>
        <s v="04;01;21;02;15;22;13;16;03;12;11"/>
        <s v="04;01;21;02;15;22;13;16;03;12;11;14"/>
        <s v="04;01;21;02;15;22;23;13;03;04 (Extra)"/>
        <s v="04;03;13;22;15;02;16;03 (Extra);04 (Extra)"/>
        <s v="04;03;16;13;22;15;02;01;12;11"/>
        <s v="04;03;16;13;22;15;02;21;01;12;11"/>
        <s v="04;03;16;13;22;15;02;21;01;12;11;04 (Extra)"/>
        <s v="04;14;12;15;07;16;13;06;11;22;01"/>
        <s v="04;21;01;22;07;16;15;03;04 (Extra)"/>
        <s v="04;21;14;02;12;03"/>
        <s v="04;21;14;02;12;03;15"/>
        <s v="04;21;14;02;12;15;07;16;13;05;11;06;22;01"/>
        <s v="04;21;14;02;12;16;13;05;11;06;07;15;03;16 (Extra)"/>
        <s v="04;21;14;02;16;07;13;05;11;06;22;15;03;16 (Extra);07 (Extra)"/>
        <s v="04;21;14;03"/>
        <s v="04;21;14;03;02;12;15;07;16;06;11;22;01"/>
        <s v="04;21;14;03;02;12;15;07;16;06;22;01"/>
        <s v="04;21;14;03;02;12;15;07;16;13;05;11;06"/>
        <s v="04;21;14;03;02;12;15;07;16;13;05;11;06;22;01"/>
        <s v="04;21;14;03;02;12;15;07;16;13;06;11;22;01"/>
        <s v="04;21;14;03;02;12;15;07;16;13;06;22;01"/>
        <s v="04;21;14;03;02;12;16;06;07;22;01;16 (Extra)"/>
        <s v="04;21;14;03;02;12;16;06;13;05;11;07;01;22;15;06 (Extra);07 (Extra)"/>
        <s v="04;21;14;03;02;12;16;07;15"/>
        <s v="04;21;14;03;02;12;16;13;05;11;06;07;15"/>
        <s v="04;21;14;03;02;12;16;13;05;11;06;07;15;16 (Extra)"/>
        <s v="04;21;14;03;15;07;16;13;05;11;06;22;01"/>
        <s v="04;21;14;03;15;16;06;11;16 (Extra);15 (Extra)"/>
        <s v="06;14;03;07;12;02;11"/>
        <s v="06;14;04;03;07;12;02;11"/>
        <s v="06;14;04;03;07;12;02;11;01"/>
        <s v="06;14;04;03;07;13;12;02;11;01"/>
        <s v="06;14;15;04;03;07;12"/>
        <s v="06;14;15;04;03;07;13;12;02;05;21;11;01"/>
        <s v="06;14;15;04;03;07;13;12;02;11;01"/>
        <s v="06;14;15;04;03;07;13;12;11;01"/>
        <s v="06;16"/>
        <s v="11;01;04;13;14;02;15;03;21;16;22"/>
        <s v="11;01;04;13;14;02;15;03;21;16;23;12"/>
        <s v="11;12;01;02;16;03;04"/>
        <s v="11;12;01;02;16;03;04;11 (Extra);12 (Extra);02 (Extra);16 (Extra);03 (Extra);04 (Extra)"/>
        <s v="11;12;01;04;13;14;02;23;15;03;21;22"/>
        <s v="11;12;01;04;13;14;02;23;15;21;22"/>
        <s v="11;12;01;21;02;15;22;13;16;03;04"/>
        <s v="11;12;01;21;02;16;03;04"/>
        <s v="11;12;01;21;02;16;13;03;04"/>
        <s v="11;12;01;21;02;16;13;22;03;04;13 (Extra)"/>
        <s v="11;12;04;03;16;02;21;01;15;22;13;23;14;02 (Extra)"/>
        <s v="11;12;04;03;16;13;22;23"/>
        <s v="11;12;04;03;16;13;23"/>
        <s v="11;12;23;15;03;21;16;22"/>
        <s v="11;12;23;16;21;03;15;02;14;13;04;01"/>
        <s v="11;12;23;16;22"/>
        <s v="11;13;04;22;14;23;01;03;02"/>
        <s v="11;21;12;13;04;22;03;02"/>
        <s v="11;21;12;13;04;22;14;15;16;23;01;03"/>
        <s v="11;21;12;13;04;22;14;15;16;23;01;03;02"/>
        <s v="11;21;12;13;04;22;14;15;23;01;03;02"/>
        <s v="11;21;12;13;04;22;14;16;15;23;01"/>
        <s v="11;21;12;13;04;22;14;16;15;23;01;03;02"/>
        <s v="11;21;12;13;04;22;14;23;01"/>
        <s v="11;21;12;13;04;22;14;23;01;03"/>
        <s v="11;21;12;13;04;22;14;23;01;03;02"/>
        <s v="11;21;12;13;04;22;23;01;02"/>
        <s v="11;21;12;13;04;22;23;01;03;02"/>
        <s v="12;02;13;31;11;21;22;01"/>
        <s v="12;02;13;31;11;22;01"/>
        <s v="12;02;23;13;14;31;13 (Extra);13 (Extra);02 (Extra);12 (Extra)"/>
        <s v="12;02;23;13;22;01;11;31"/>
        <s v="12;02;23;13;31;11"/>
        <s v="12;02;23;13;31;11;21;22;01"/>
        <s v="12;02;23;13;31;11;21;22;01;02 (Extra);22 (Extra)"/>
        <s v="12;02;23;13;31;11;22"/>
        <s v="12;02;23;13;31;11;22;01"/>
        <s v="12;13;01;15"/>
        <s v="12;13;31;11;22"/>
        <s v="12;15;23;02;13;31;11;22;01"/>
        <s v="12;23;02;13;31;11;22;01"/>
        <s v="13;14;16;24;12"/>
        <s v="13;23;14;16;24;12"/>
        <s v="14;03;07;12"/>
        <s v="14;04"/>
        <s v="14;04;03;07;13;12;02;05;11;01"/>
        <s v="14;11;12;01;02;16;03;04"/>
        <s v="14;11;12;01;21;02;15;16;03;04;02 (Extra)"/>
        <s v="14;11;12;04"/>
        <s v="14;23;13;22;15;02;16;03;12;11"/>
        <s v="14;23;16;02;15;01;04"/>
        <s v="14;23;16;02;15;01;04;02 (Extra)"/>
        <s v="14;23;16;03;04;11"/>
        <s v="14;23;22;13;16;03;01;04"/>
        <s v="14;23;22;13;16;03;04;12;11"/>
        <s v="15;01;21;22;11;23;01 (Extra)"/>
        <s v="15;01;21;22;11;23;13"/>
        <s v="15;01;21;22;11;23;13;12"/>
        <s v="15;01;21;22;11;23;13;14;16;24;12"/>
        <s v="15;01;21;22;11;23;14;16;24;12"/>
        <s v="15;21;01;12"/>
        <s v="21;12;13;04;22;14;23;01;03;02;11"/>
        <s v="22;06;11;05;13;16;07;15;03;14;21;04"/>
        <s v="22;12"/>
        <s v="22;16;03;15;23;02;14;13;04;01"/>
        <s v="22;16;15;23;02;14;13;04;01"/>
        <s v="22;16;15;23;02;14;13;04;01;11"/>
        <s v="22;16;21;03;15;02;14;23;12;01;02 (Extra)"/>
        <s v="22;16;21;03;15;02;14;23;12;02 (Extra)"/>
        <s v="22;16;21;03;15;02;14;23;12;11;02 (Extra)"/>
        <s v="22;16;21;03;15;02;23;12;01;11"/>
        <s v="22;16;21;03;15;02;23;12;11"/>
        <s v="22;16;21;03;15;02;23;12;11;01"/>
        <s v="22;16;21;03;15;23;02;14;13;04;01;11"/>
        <s v="22;16;21;03;15;23;02;14;13;04;01;11;12"/>
        <s v="22;16;21;03;15;23;02;14;13;04;01;12;11"/>
        <s v="22;16;21;03;15;23;12;11;01"/>
        <s v="22;16;21;03;15;23;12;11;02"/>
        <s v="22;16;21;15;23;02;14;13;04;01;11;12"/>
        <s v="22;16;23;02;14;13;04;01"/>
        <s v="22;16;23;02;14;13;04;01;11"/>
        <s v="22;16;23;12;11;01"/>
        <s v="22;21;01"/>
        <s v="22;21;03;15;16;23;02;14;13;04;01;11"/>
        <s v="22;21;03;15;16;23;02;14;13;04;01;11;12"/>
        <s v="22;23;16;21;03;15;02;14;13;04;01;11"/>
        <s v="22;23;16;21;03;15;02;14;13;04;01;12;11"/>
      </sharedItems>
    </cacheField>
    <cacheField name="Time" numFmtId="0">
      <sharedItems containsSemiMixedTypes="0" containsString="0" containsNumber="1" minValue="0" maxValue="2.49305555555556" count="282">
        <n v="0"/>
        <n v="0.0416782407407407"/>
        <n v="0.0416898148148148"/>
        <n v="0.0417592592592593"/>
        <n v="0.0418865740740741"/>
        <n v="0.0418981481481482"/>
        <n v="0.0419097222222222"/>
        <n v="0.0420023148148148"/>
        <n v="0.042025462962963"/>
        <n v="0.0420717592592593"/>
        <n v="0.0424421296296296"/>
        <n v="0.0427083333333333"/>
        <n v="0.0427546296296296"/>
        <n v="0.0428587962962963"/>
        <n v="0.0428819444444444"/>
        <n v="0.043275462962963"/>
        <n v="0.043287037037037"/>
        <n v="0.0433796296296296"/>
        <n v="0.0434837962962963"/>
        <n v="0.0435532407407407"/>
        <n v="0.0436342592592593"/>
        <n v="0.0436689814814815"/>
        <n v="0.0437847222222222"/>
        <n v="0.0438425925925926"/>
        <n v="0.0442824074074074"/>
        <n v="0.0442939814814815"/>
        <n v="0.0448263888888889"/>
        <n v="0.044837962962963"/>
        <n v="0.0448842592592593"/>
        <n v="0.0453587962962963"/>
        <n v="0.0461226851851852"/>
        <n v="0.0461689814814815"/>
        <n v="0.0462384259259259"/>
        <n v="0.0468171296296296"/>
        <n v="0.0471064814814815"/>
        <n v="0.0478009259259259"/>
        <n v="0.0478819444444444"/>
        <n v="0.0480092592592593"/>
        <n v="0.0485532407407407"/>
        <n v="0.0487152777777778"/>
        <n v="0.0487731481481482"/>
        <n v="0.049212962962963"/>
        <n v="0.0492361111111111"/>
        <n v="0.0492476851851852"/>
        <n v="0.0493865740740741"/>
        <n v="0.0497106481481482"/>
        <n v="0.0497453703703704"/>
        <n v="0.0499537037037037"/>
        <n v="0.0503472222222222"/>
        <n v="0.0503819444444444"/>
        <n v="0.0506597222222222"/>
        <n v="0.050775462962963"/>
        <n v="0.0513657407407407"/>
        <n v="0.0522800925925926"/>
        <n v="0.0523958333333333"/>
        <n v="0.0524421296296296"/>
        <n v="0.0525462962962963"/>
        <n v="0.0526273148148148"/>
        <n v="0.052662037037037"/>
        <n v="0.0527430555555556"/>
        <n v="0.0529166666666667"/>
        <n v="0.0529976851851852"/>
        <n v="0.0530324074074074"/>
        <n v="0.0530439814814815"/>
        <n v="0.0532060185185185"/>
        <n v="0.0532175925925926"/>
        <n v="0.0532291666666667"/>
        <n v="0.0534490740740741"/>
        <n v="0.0537037037037037"/>
        <n v="0.0537268518518519"/>
        <n v="0.0539583333333333"/>
        <n v="0.0540509259259259"/>
        <n v="0.0541319444444445"/>
        <n v="0.054212962962963"/>
        <n v="0.0542476851851852"/>
        <n v="0.0542592592592593"/>
        <n v="0.0543634259259259"/>
        <n v="0.054375"/>
        <n v="0.0547453703703704"/>
        <n v="0.0549189814814815"/>
        <n v="0.0552777777777778"/>
        <n v="0.0554398148148148"/>
        <n v="0.0559722222222222"/>
        <n v="0.0560185185185185"/>
        <n v="0.0560300925925926"/>
        <n v="0.0566782407407407"/>
        <n v="0.0572800925925926"/>
        <n v="0.0578125"/>
        <n v="0.0589930555555556"/>
        <n v="0.0590393518518519"/>
        <n v="0.0595833333333333"/>
        <n v="0.0619791666666667"/>
        <n v="0.0627314814814815"/>
        <n v="0.0643981481481482"/>
        <n v="0.0650810185185185"/>
        <n v="0.0671527777777778"/>
        <n v="0.0672453703703704"/>
        <n v="0.0743634259259259"/>
        <n v="0.0744675925925926"/>
        <n v="0.0778009259259259"/>
        <n v="0.0778125"/>
        <n v="0.0805902777777778"/>
        <n v="0.0819328703703704"/>
        <n v="0.0871759259259259"/>
        <n v="0.089224537037037"/>
        <n v="0.0892476851851852"/>
        <n v="0.0893402777777778"/>
        <n v="0.0918287037037037"/>
        <n v="0.0918634259259259"/>
        <n v="0.0950578703703704"/>
        <n v="0.0951273148148148"/>
        <n v="0.0951736111111111"/>
        <n v="0.101851851851852"/>
        <n v="0.103020833333333"/>
        <n v="0.112106481481481"/>
        <n v="0.635416666666667"/>
        <n v="1.42847222222222"/>
        <n v="1.44861111111111"/>
        <n v="1.45555555555556"/>
        <n v="1.46875"/>
        <n v="1.49375"/>
        <n v="1.49861111111111"/>
        <n v="1.50833333333333"/>
        <n v="1.50902777777778"/>
        <n v="1.51180555555556"/>
        <n v="1.53541666666667"/>
        <n v="1.53958333333333"/>
        <n v="1.54097222222222"/>
        <n v="1.56111111111111"/>
        <n v="1.56458333333333"/>
        <n v="1.56805555555556"/>
        <n v="1.57291666666667"/>
        <n v="1.57361111111111"/>
        <n v="1.58402777777778"/>
        <n v="1.5875"/>
        <n v="1.59652777777778"/>
        <n v="1.60416666666667"/>
        <n v="1.60972222222222"/>
        <n v="1.62708333333333"/>
        <n v="1.62986111111111"/>
        <n v="1.63333333333333"/>
        <n v="1.63402777777778"/>
        <n v="1.63541666666667"/>
        <n v="1.6375"/>
        <n v="1.63819444444444"/>
        <n v="1.63888888888889"/>
        <n v="1.63958333333333"/>
        <n v="1.64722222222222"/>
        <n v="1.65416666666667"/>
        <n v="1.65625"/>
        <n v="1.65763888888889"/>
        <n v="1.65902777777778"/>
        <n v="1.67638888888889"/>
        <n v="1.67986111111111"/>
        <n v="1.69444444444444"/>
        <n v="1.69722222222222"/>
        <n v="1.69791666666667"/>
        <n v="1.7"/>
        <n v="1.73611111111111"/>
        <n v="1.74166666666667"/>
        <n v="1.74375"/>
        <n v="1.75347222222222"/>
        <n v="1.76458333333333"/>
        <n v="1.79027777777778"/>
        <n v="1.80138888888889"/>
        <n v="1.80902777777778"/>
        <n v="1.82777777777778"/>
        <n v="1.85625"/>
        <n v="1.85694444444444"/>
        <n v="1.87916666666667"/>
        <n v="1.88333333333333"/>
        <n v="1.90486111111111"/>
        <n v="1.90972222222222"/>
        <n v="1.95833333333333"/>
        <n v="1.96041666666667"/>
        <n v="1.96111111111111"/>
        <n v="1.96875"/>
        <n v="1.97291666666667"/>
        <n v="1.97430555555556"/>
        <n v="1.98333333333333"/>
        <n v="1.99027777777778"/>
        <n v="1.99305555555556"/>
        <n v="2"/>
        <n v="2.00416666666667"/>
        <n v="2.00694444444444"/>
        <n v="2.00902777777778"/>
        <n v="2.00972222222222"/>
        <n v="2.01041666666667"/>
        <n v="2.01597222222222"/>
        <n v="2.03055555555556"/>
        <n v="2.03402777777778"/>
        <n v="2.04444444444444"/>
        <n v="2.04583333333333"/>
        <n v="2.04861111111111"/>
        <n v="2.05555555555556"/>
        <n v="2.05625"/>
        <n v="2.07152777777778"/>
        <n v="2.08125"/>
        <n v="2.09236111111111"/>
        <n v="2.10416666666667"/>
        <n v="2.10486111111111"/>
        <n v="2.10625"/>
        <n v="2.10833333333333"/>
        <n v="2.11111111111111"/>
        <n v="2.11319444444444"/>
        <n v="2.11666666666667"/>
        <n v="2.14583333333333"/>
        <n v="2.15069444444444"/>
        <n v="2.15972222222222"/>
        <n v="2.16875"/>
        <n v="2.17638888888889"/>
        <n v="2.19027777777778"/>
        <n v="2.19305555555556"/>
        <n v="2.20694444444444"/>
        <n v="2.20972222222222"/>
        <n v="2.21388888888889"/>
        <n v="2.21666666666667"/>
        <n v="2.21736111111111"/>
        <n v="2.22361111111111"/>
        <n v="2.23125"/>
        <n v="2.23333333333333"/>
        <n v="2.24652777777778"/>
        <n v="2.25347222222222"/>
        <n v="2.25625"/>
        <n v="2.26597222222222"/>
        <n v="2.26666666666667"/>
        <n v="2.27222222222222"/>
        <n v="2.27569444444444"/>
        <n v="2.27847222222222"/>
        <n v="2.27916666666667"/>
        <n v="2.28263888888889"/>
        <n v="2.28472222222222"/>
        <n v="2.28888888888889"/>
        <n v="2.29097222222222"/>
        <n v="2.29305555555556"/>
        <n v="2.29444444444444"/>
        <n v="2.30486111111111"/>
        <n v="2.33402777777778"/>
        <n v="2.33472222222222"/>
        <n v="2.33680555555556"/>
        <n v="2.34305555555556"/>
        <n v="2.35486111111111"/>
        <n v="2.35625"/>
        <n v="2.35902777777778"/>
        <n v="2.36111111111111"/>
        <n v="2.36388888888889"/>
        <n v="2.36458333333333"/>
        <n v="2.36805555555556"/>
        <n v="2.37291666666667"/>
        <n v="2.37777777777778"/>
        <n v="2.37986111111111"/>
        <n v="2.38125"/>
        <n v="2.38194444444444"/>
        <n v="2.38402777777778"/>
        <n v="2.38541666666667"/>
        <n v="2.38680555555556"/>
        <n v="2.38819444444444"/>
        <n v="2.39305555555556"/>
        <n v="2.39444444444444"/>
        <n v="2.40138888888889"/>
        <n v="2.40208333333333"/>
        <n v="2.40625"/>
        <n v="2.40694444444444"/>
        <n v="2.41388888888889"/>
        <n v="2.41736111111111"/>
        <n v="2.42291666666667"/>
        <n v="2.42361111111111"/>
        <n v="2.43333333333333"/>
        <n v="2.43402777777778"/>
        <n v="2.43611111111111"/>
        <n v="2.4375"/>
        <n v="2.44513888888889"/>
        <n v="2.44861111111111"/>
        <n v="2.44930555555556"/>
        <n v="2.45833333333333"/>
        <n v="2.46388888888889"/>
        <n v="2.47013888888889"/>
        <n v="2.47708333333333"/>
        <n v="2.47777777777778"/>
        <n v="2.48958333333333"/>
        <n v="2.49166666666667"/>
        <n v="2.49305555555556"/>
      </sharedItems>
    </cacheField>
    <cacheField name="GrossPoints" numFmtId="0">
      <sharedItems containsSemiMixedTypes="0" containsString="0" containsNumber="1" containsInteger="1" minValue="10" maxValue="250" count="24">
        <n v="10"/>
        <n v="30"/>
        <n v="40"/>
        <n v="50"/>
        <n v="60"/>
        <n v="70"/>
        <n v="80"/>
        <n v="90"/>
        <n v="100"/>
        <n v="110"/>
        <n v="120"/>
        <n v="130"/>
        <n v="140"/>
        <n v="150"/>
        <n v="160"/>
        <n v="170"/>
        <n v="180"/>
        <n v="190"/>
        <n v="200"/>
        <n v="210"/>
        <n v="220"/>
        <n v="230"/>
        <n v="240"/>
        <n v="250"/>
      </sharedItems>
    </cacheField>
    <cacheField name="NetPoints" numFmtId="0">
      <sharedItems containsSemiMixedTypes="0" containsString="0" containsNumber="1" containsInteger="1" minValue="-770" maxValue="250" count="47">
        <n v="-770"/>
        <n v="-690"/>
        <n v="-640"/>
        <n v="-500"/>
        <n v="-460"/>
        <n v="-450"/>
        <n v="-400"/>
        <n v="-390"/>
        <n v="-380"/>
        <n v="-340"/>
        <n v="-320"/>
        <n v="-260"/>
        <n v="-230"/>
        <n v="-170"/>
        <n v="-160"/>
        <n v="-80"/>
        <n v="-70"/>
        <n v="-60"/>
        <n v="-50"/>
        <n v="-40"/>
        <n v="-30"/>
        <n v="-20"/>
        <n v="0"/>
        <n v="10"/>
        <n v="30"/>
        <n v="40"/>
        <n v="50"/>
        <n v="60"/>
        <n v="70"/>
        <n v="80"/>
        <n v="90"/>
        <n v="100"/>
        <n v="110"/>
        <n v="120"/>
        <n v="130"/>
        <n v="140"/>
        <n v="150"/>
        <n v="160"/>
        <n v="170"/>
        <n v="180"/>
        <n v="190"/>
        <n v="200"/>
        <n v="210"/>
        <n v="220"/>
        <n v="230"/>
        <n v="240"/>
        <n v="250"/>
      </sharedItems>
    </cacheField>
    <cacheField name="Km" numFmtId="0">
      <sharedItems containsSemiMixedTypes="0" containsString="0" containsNumber="1" minValue="2.12" maxValue="15.2" count="242">
        <n v="2.12"/>
        <n v="3.65"/>
        <n v="3.8"/>
        <n v="4.18"/>
        <n v="4.3"/>
        <n v="4.31"/>
        <n v="4.33"/>
        <n v="4.35"/>
        <n v="4.53"/>
        <n v="4.79"/>
        <n v="4.87"/>
        <n v="4.92"/>
        <n v="4.96"/>
        <n v="5.22"/>
        <n v="5.24"/>
        <n v="5.28"/>
        <n v="5.34"/>
        <n v="5.47"/>
        <n v="5.52"/>
        <n v="5.56"/>
        <n v="5.61"/>
        <n v="5.64"/>
        <n v="5.66"/>
        <n v="5.69"/>
        <n v="5.74"/>
        <n v="5.78"/>
        <n v="5.94"/>
        <n v="6.06"/>
        <n v="6.08"/>
        <n v="6.12"/>
        <n v="6.19"/>
        <n v="6.24"/>
        <n v="6.26"/>
        <n v="6.34"/>
        <n v="6.39"/>
        <n v="6.42"/>
        <n v="6.44"/>
        <n v="6.45"/>
        <n v="6.48"/>
        <n v="6.55"/>
        <n v="6.58"/>
        <n v="6.6"/>
        <n v="6.61"/>
        <n v="6.65"/>
        <n v="6.66"/>
        <n v="6.71"/>
        <n v="6.73"/>
        <n v="6.74"/>
        <n v="6.78"/>
        <n v="6.81"/>
        <n v="6.85"/>
        <n v="6.87"/>
        <n v="6.89"/>
        <n v="6.92"/>
        <n v="6.94"/>
        <n v="6.99"/>
        <n v="7"/>
        <n v="7.01"/>
        <n v="7.02"/>
        <n v="7.05"/>
        <n v="7.06"/>
        <n v="7.08"/>
        <n v="7.09"/>
        <n v="7.1"/>
        <n v="7.11"/>
        <n v="7.13"/>
        <n v="7.16"/>
        <n v="7.2"/>
        <n v="7.23"/>
        <n v="7.25"/>
        <n v="7.27"/>
        <n v="7.28"/>
        <n v="7.33"/>
        <n v="7.35"/>
        <n v="7.36"/>
        <n v="7.38"/>
        <n v="7.42"/>
        <n v="7.43"/>
        <n v="7.45"/>
        <n v="7.5"/>
        <n v="7.53"/>
        <n v="7.54"/>
        <n v="7.57"/>
        <n v="7.63"/>
        <n v="7.64"/>
        <n v="7.65"/>
        <n v="7.7"/>
        <n v="7.72"/>
        <n v="7.75"/>
        <n v="7.77"/>
        <n v="7.78"/>
        <n v="7.81"/>
        <n v="7.85"/>
        <n v="7.88"/>
        <n v="7.97"/>
        <n v="7.99"/>
        <n v="8.02"/>
        <n v="8.09"/>
        <n v="8.1"/>
        <n v="8.14"/>
        <n v="8.16"/>
        <n v="8.17"/>
        <n v="8.21"/>
        <n v="8.23"/>
        <n v="8.27"/>
        <n v="8.28"/>
        <n v="8.3"/>
        <n v="8.31"/>
        <n v="8.34"/>
        <n v="8.35"/>
        <n v="8.37"/>
        <n v="8.39"/>
        <n v="8.42"/>
        <n v="8.45"/>
        <n v="8.46"/>
        <n v="8.48"/>
        <n v="8.5"/>
        <n v="8.52"/>
        <n v="8.56"/>
        <n v="8.57"/>
        <n v="8.6"/>
        <n v="8.63"/>
        <n v="8.66"/>
        <n v="8.85"/>
        <n v="8.86"/>
        <n v="8.88"/>
        <n v="8.89"/>
        <n v="8.91"/>
        <n v="8.92"/>
        <n v="8.97"/>
        <n v="9.01"/>
        <n v="9.02"/>
        <n v="9.03"/>
        <n v="9.05"/>
        <n v="9.09"/>
        <n v="9.14"/>
        <n v="9.19"/>
        <n v="9.27"/>
        <n v="9.29"/>
        <n v="9.32"/>
        <n v="9.35"/>
        <n v="9.37"/>
        <n v="9.41"/>
        <n v="9.44"/>
        <n v="9.45"/>
        <n v="9.46"/>
        <n v="9.47"/>
        <n v="9.49"/>
        <n v="9.52"/>
        <n v="9.53"/>
        <n v="9.56"/>
        <n v="9.57"/>
        <n v="9.58"/>
        <n v="9.62"/>
        <n v="9.63"/>
        <n v="9.64"/>
        <n v="9.65"/>
        <n v="9.7"/>
        <n v="9.75"/>
        <n v="9.76"/>
        <n v="9.81"/>
        <n v="9.83"/>
        <n v="9.85"/>
        <n v="9.93"/>
        <n v="9.94"/>
        <n v="9.95"/>
        <n v="9.97"/>
        <n v="10.09"/>
        <n v="10.19"/>
        <n v="10.21"/>
        <n v="10.24"/>
        <n v="10.25"/>
        <n v="10.31"/>
        <n v="10.36"/>
        <n v="10.37"/>
        <n v="10.41"/>
        <n v="10.47"/>
        <n v="10.49"/>
        <n v="10.5"/>
        <n v="10.54"/>
        <n v="10.56"/>
        <n v="10.57"/>
        <n v="10.61"/>
        <n v="10.76"/>
        <n v="10.8"/>
        <n v="10.87"/>
        <n v="10.92"/>
        <n v="10.95"/>
        <n v="10.97"/>
        <n v="10.99"/>
        <n v="11"/>
        <n v="11.03"/>
        <n v="11.07"/>
        <n v="11.08"/>
        <n v="11.1"/>
        <n v="11.12"/>
        <n v="11.16"/>
        <n v="11.19"/>
        <n v="11.31"/>
        <n v="11.33"/>
        <n v="11.37"/>
        <n v="11.39"/>
        <n v="11.49"/>
        <n v="11.56"/>
        <n v="11.61"/>
        <n v="11.62"/>
        <n v="11.64"/>
        <n v="11.66"/>
        <n v="11.68"/>
        <n v="11.7"/>
        <n v="11.71"/>
        <n v="11.85"/>
        <n v="11.89"/>
        <n v="11.93"/>
        <n v="11.95"/>
        <n v="11.96"/>
        <n v="11.97"/>
        <n v="12.07"/>
        <n v="12.11"/>
        <n v="12.12"/>
        <n v="12.21"/>
        <n v="12.22"/>
        <n v="12.28"/>
        <n v="12.29"/>
        <n v="12.39"/>
        <n v="12.41"/>
        <n v="12.43"/>
        <n v="12.62"/>
        <n v="12.64"/>
        <n v="12.75"/>
        <n v="13.02"/>
        <n v="13.18"/>
        <n v="13.19"/>
        <n v="13.32"/>
        <n v="13.54"/>
        <n v="13.71"/>
        <n v="13.94"/>
        <n v="14.01"/>
        <n v="14.18"/>
        <n v="14.32"/>
        <n v="14.71"/>
        <n v="15.2"/>
      </sharedItems>
    </cacheField>
    <cacheField name="OverallPosition" numFmtId="0">
      <sharedItems count="63">
        <s v="JM:1"/>
        <s v="JM:2"/>
        <s v="SM:1"/>
        <s v="SM:10"/>
        <s v="SM:11"/>
        <s v="SM:12"/>
        <s v="SM:13"/>
        <s v="SM:14"/>
        <s v="SM:15"/>
        <s v="SM:16"/>
        <s v="SM:17"/>
        <s v="SM:18"/>
        <s v="SM:19"/>
        <s v="SM:2"/>
        <s v="SM:20"/>
        <s v="SM:21"/>
        <s v="SM:22"/>
        <s v="SM:23"/>
        <s v="SM:24"/>
        <s v="SM:25"/>
        <s v="SM:26"/>
        <s v="SM:27"/>
        <s v="SM:28"/>
        <s v="SM:29"/>
        <s v="SM:3"/>
        <s v="SM:30"/>
        <s v="SM:31"/>
        <s v="SM:32"/>
        <s v="SM:33"/>
        <s v="SM:34"/>
        <s v="SM:35"/>
        <s v="SM:36"/>
        <s v="SM:37"/>
        <s v="SM:38"/>
        <s v="SM:39"/>
        <s v="SM:4"/>
        <s v="SM:40"/>
        <s v="SM:5"/>
        <s v="SM:6"/>
        <s v="SM:7"/>
        <s v="SM:8"/>
        <s v="SM:9"/>
        <s v="SW:1"/>
        <s v="SW:10"/>
        <s v="SW:11"/>
        <s v="SW:12"/>
        <s v="SW:13"/>
        <s v="SW:14"/>
        <s v="SW:15"/>
        <s v="SW:16"/>
        <s v="SW:17"/>
        <s v="SW:18"/>
        <s v="SW:19"/>
        <s v="SW:2"/>
        <s v="SW:20"/>
        <s v="SW:21"/>
        <s v="SW:3"/>
        <s v="SW:4"/>
        <s v="SW:5"/>
        <s v="SW:6"/>
        <s v="SW:7"/>
        <s v="SW:8"/>
        <s v="SW:9"/>
      </sharedItems>
    </cacheField>
    <cacheField name="AgeCatPosition" numFmtId="0">
      <sharedItems count="82">
        <s v="M15-19:1"/>
        <s v="M15-19:2"/>
        <s v="M20-24:1"/>
        <s v="M20-24:2"/>
        <s v="M25-29:1"/>
        <s v="M25-29:2"/>
        <s v="M35-39:1"/>
        <s v="M35-39:2"/>
        <s v="M40-44:1"/>
        <s v="M40-44:2"/>
        <s v="M40-44:3"/>
        <s v="M40-44:4"/>
        <s v="M45-49:1"/>
        <s v="M45-49:2"/>
        <s v="M45-49:3"/>
        <s v="M45-49:4"/>
        <s v="M45-49:5"/>
        <s v="M50-54:1"/>
        <s v="M50-54:2"/>
        <s v="M50-54:3"/>
        <s v="M50-54:4"/>
        <s v="M55-59:1"/>
        <s v="M55-59:10"/>
        <s v="M55-59:11"/>
        <s v="M55-59:12"/>
        <s v="M55-59:13"/>
        <s v="M55-59:14"/>
        <s v="M55-59:15"/>
        <s v="M55-59:2"/>
        <s v="M55-59:3"/>
        <s v="M55-59:4"/>
        <s v="M55-59:5"/>
        <s v="M55-59:6"/>
        <s v="M55-59:7"/>
        <s v="M55-59:8"/>
        <s v="M55-59:9"/>
        <s v="M60-64:1"/>
        <s v="M60-64:2"/>
        <s v="M60-64:3"/>
        <s v="M60-64:4"/>
        <s v="M60-64:5"/>
        <s v="M60-64:6"/>
        <s v="M65-69:1"/>
        <s v="M70-74:1"/>
        <s v="M70-74:2"/>
        <s v="M70-74:3"/>
        <s v="M70-74:4"/>
        <s v="M70-74:5"/>
        <s v="M70-74:6"/>
        <s v="M70-74:7"/>
        <s v="M70-74:8"/>
        <s v="M85-89:1"/>
        <s v="M85-89:2"/>
        <s v="W25-29:1"/>
        <s v="W30-34:1"/>
        <s v="W30-34:2"/>
        <s v="W30-34:3"/>
        <s v="W30-34:4"/>
        <s v="W40-44:1"/>
        <s v="W40-44:2"/>
        <s v="W40-44:3"/>
        <s v="W40-44:4"/>
        <s v="W40-44:5"/>
        <s v="W45-49:1"/>
        <s v="W50-54:1"/>
        <s v="W50-54:2"/>
        <s v="W50-54:3"/>
        <s v="W55-59:1"/>
        <s v="W55-59:2"/>
        <s v="W55-59:3"/>
        <s v="W55-59:4"/>
        <s v="W55-59:5"/>
        <s v="W55-59:6"/>
        <s v="W55-59:7"/>
        <s v="W60-64:1"/>
        <s v="W60-64:2"/>
        <s v="W60-64:3"/>
        <s v="W60-64:4"/>
        <s v="W65-69:1"/>
        <s v="W65-69:2"/>
        <s v="W70-74:1"/>
        <s v="W70-74:2"/>
      </sharedItems>
    </cacheField>
    <cacheField name="RunDate" numFmtId="0">
      <sharedItems containsSemiMixedTypes="0" containsNonDate="0" containsDate="1" containsString="0" minDate="2025-04-03T00:00:00" maxDate="2025-11-30T00:00:00" count="144">
        <d v="2025-04-03T00:00:00"/>
        <d v="2025-04-05T00:00:00"/>
        <d v="2025-04-06T00:00:00"/>
        <d v="2025-04-07T00:00:00"/>
        <d v="2025-04-08T00:00:00"/>
        <d v="2025-04-09T00:00:00"/>
        <d v="2025-04-10T00:00:00"/>
        <d v="2025-04-13T00:00:00"/>
        <d v="2025-04-15T00:00:00"/>
        <d v="2025-04-17T00:00:00"/>
        <d v="2025-04-18T00:00:00"/>
        <d v="2025-04-19T00:00:00"/>
        <d v="2025-04-20T00:00:00"/>
        <d v="2025-04-22T00:00:00"/>
        <d v="2025-04-23T00:00:00"/>
        <d v="2025-04-24T00:00:00"/>
        <d v="2025-04-25T00:00:00"/>
        <d v="2025-04-26T00:00:00"/>
        <d v="2025-04-27T00:00:00"/>
        <d v="2025-04-28T00:00:00"/>
        <d v="2025-04-29T00:00:00"/>
        <d v="2025-04-30T00:00:00"/>
        <d v="2025-05-04T00:00:00"/>
        <d v="2025-05-05T00:00:00"/>
        <d v="2025-05-06T00:00:00"/>
        <d v="2025-05-08T00:00:00"/>
        <d v="2025-05-11T00:00:00"/>
        <d v="2025-05-12T00:00:00"/>
        <d v="2025-05-13T00:00:00"/>
        <d v="2025-05-15T00:00:00"/>
        <d v="2025-05-16T00:00:00"/>
        <d v="2025-05-17T00:00:00"/>
        <d v="2025-05-20T00:00:00"/>
        <d v="2025-05-22T00:00:00"/>
        <d v="2025-05-23T00:00:00"/>
        <d v="2025-05-24T00:00:00"/>
        <d v="2025-05-25T00:00:00"/>
        <d v="2025-05-26T00:00:00"/>
        <d v="2025-05-27T00:00:00"/>
        <d v="2025-05-28T00:00:00"/>
        <d v="2025-05-29T00:00:00"/>
        <d v="2025-05-30T00:00:00"/>
        <d v="2025-05-31T00:00:00"/>
        <d v="2025-06-01T00:00:00"/>
        <d v="2025-06-05T00:00:00"/>
        <d v="2025-06-08T00:00:00"/>
        <d v="2025-06-09T00:00:00"/>
        <d v="2025-06-11T00:00:00"/>
        <d v="2025-06-16T00:00:00"/>
        <d v="2025-06-19T00:00:00"/>
        <d v="2025-06-23T00:00:00"/>
        <d v="2025-06-24T00:00:00"/>
        <d v="2025-06-25T00:00:00"/>
        <d v="2025-06-26T00:00:00"/>
        <d v="2025-06-29T00:00:00"/>
        <d v="2025-07-01T00:00:00"/>
        <d v="2025-07-02T00:00:00"/>
        <d v="2025-07-05T00:00:00"/>
        <d v="2025-07-07T00:00:00"/>
        <d v="2025-07-10T00:00:00"/>
        <d v="2025-07-14T00:00:00"/>
        <d v="2025-07-16T00:00:00"/>
        <d v="2025-07-17T00:00:00"/>
        <d v="2025-07-18T00:00:00"/>
        <d v="2025-07-20T00:00:00"/>
        <d v="2025-07-21T00:00:00"/>
        <d v="2025-07-22T00:00:00"/>
        <d v="2025-07-23T00:00:00"/>
        <d v="2025-07-24T00:00:00"/>
        <d v="2025-07-25T00:00:00"/>
        <d v="2025-07-26T00:00:00"/>
        <d v="2025-07-27T00:00:00"/>
        <d v="2025-07-28T00:00:00"/>
        <d v="2025-07-29T00:00:00"/>
        <d v="2025-07-31T00:00:00"/>
        <d v="2025-08-07T00:00:00"/>
        <d v="2025-08-08T00:00:00"/>
        <d v="2025-08-10T00:00:00"/>
        <d v="2025-08-11T00:00:00"/>
        <d v="2025-08-12T00:00:00"/>
        <d v="2025-08-13T00:00:00"/>
        <d v="2025-08-14T00:00:00"/>
        <d v="2025-08-15T00:00:00"/>
        <d v="2025-08-16T00:00:00"/>
        <d v="2025-08-18T00:00:00"/>
        <d v="2025-08-21T00:00:00"/>
        <d v="2025-08-22T00:00:00"/>
        <d v="2025-08-24T00:00:00"/>
        <d v="2025-08-26T00:00:00"/>
        <d v="2025-08-27T00:00:00"/>
        <d v="2025-08-28T00:00:00"/>
        <d v="2025-08-31T00:00:00"/>
        <d v="2025-09-01T00:00:00"/>
        <d v="2025-09-02T00:00:00"/>
        <d v="2025-09-03T00:00:00"/>
        <d v="2025-09-04T00:00:00"/>
        <d v="2025-09-06T00:00:00"/>
        <d v="2025-09-08T00:00:00"/>
        <d v="2025-09-12T00:00:00"/>
        <d v="2025-09-13T00:00:00"/>
        <d v="2025-09-14T00:00:00"/>
        <d v="2025-09-16T00:00:00"/>
        <d v="2025-09-17T00:00:00"/>
        <d v="2025-09-19T00:00:00"/>
        <d v="2025-09-20T00:00:00"/>
        <d v="2025-09-21T00:00:00"/>
        <d v="2025-09-22T00:00:00"/>
        <d v="2025-09-23T00:00:00"/>
        <d v="2025-09-24T00:00:00"/>
        <d v="2025-09-25T00:00:00"/>
        <d v="2025-09-27T00:00:00"/>
        <d v="2025-09-28T00:00:00"/>
        <d v="2025-09-30T00:00:00"/>
        <d v="2025-10-01T00:00:00"/>
        <d v="2025-10-05T00:00:00"/>
        <d v="2025-10-06T00:00:00"/>
        <d v="2025-10-07T00:00:00"/>
        <d v="2025-10-08T00:00:00"/>
        <d v="2025-10-11T00:00:00"/>
        <d v="2025-10-12T00:00:00"/>
        <d v="2025-10-13T00:00:00"/>
        <d v="2025-10-14T00:00:00"/>
        <d v="2025-10-18T00:00:00"/>
        <d v="2025-10-21T00:00:00"/>
        <d v="2025-10-22T00:00:00"/>
        <d v="2025-10-23T00:00:00"/>
        <d v="2025-10-26T00:00:00"/>
        <d v="2025-10-28T00:00:00"/>
        <d v="2025-10-29T00:00:00"/>
        <d v="2025-10-30T00:00:00"/>
        <d v="2025-10-31T00:00:00"/>
        <d v="2025-11-01T00:00:00"/>
        <d v="2025-11-03T00:00:00"/>
        <d v="2025-11-04T00:00:00"/>
        <d v="2025-11-05T00:00:00"/>
        <d v="2025-11-10T00:00:00"/>
        <d v="2025-11-11T00:00:00"/>
        <d v="2025-11-14T00:00:00"/>
        <d v="2025-11-17T00:00:00"/>
        <d v="2025-11-21T00:00:00"/>
        <d v="2025-11-23T00:00:00"/>
        <d v="2025-11-24T00:00:00"/>
        <d v="2025-11-25T00:00:00"/>
        <d v="2025-11-30T00:00:00"/>
      </sharedItems>
    </cacheField>
    <cacheField name="RunnerId" numFmtId="0">
      <sharedItems containsSemiMixedTypes="0" containsString="0" containsNumber="1" containsInteger="1" minValue="2" maxValue="63" count="62"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</sharedItems>
    </cacheField>
    <cacheField name="Runner" numFmtId="0">
      <sharedItems count="49">
        <s v="Alan Knox"/>
        <s v="Andrea Henson"/>
        <s v="Anthony Wright"/>
        <s v="Ben Wilkinson"/>
        <s v="Chris Baldwin"/>
        <s v="Dave Lovatt"/>
        <s v="Dean Allcroft"/>
        <s v="Dommett Steve"/>
        <s v="Gemma Nutton"/>
        <s v="Heather Lindley"/>
        <s v="Helen Fryers"/>
        <s v="Ian Wragg"/>
        <s v="James Fryers"/>
        <s v="Jemma Williams"/>
        <s v="Jen Holley"/>
        <s v="Jill Davis"/>
        <s v="Jill Davis (Rev30)"/>
        <s v="Jill Scrivens"/>
        <s v="John Lawcock"/>
        <s v="Jon Hallam"/>
        <s v="Jon Hallam (Rev10)"/>
        <s v="Kent Swanson"/>
        <s v="Lesley Parker"/>
        <s v="Lisa Hinchliffe"/>
        <s v="Mandy Helliwell"/>
        <s v="Mark Crossley"/>
        <s v="Mark Pearce"/>
        <s v="Martyn Goodwin"/>
        <s v="Matthew Coldwell"/>
        <s v="Michael Nicholson"/>
        <s v="Myfanwy Cross"/>
        <s v="Nick Whittingham"/>
        <s v="Paul Fryers"/>
        <s v="Rachael Winterbottom"/>
        <s v="Raymond Brown"/>
        <s v="Rogers Flynn"/>
        <s v="Sara Wolstenholme"/>
        <s v="Sarah Halstead"/>
        <s v="Sarah Jones-Morris"/>
        <s v="Shaun Swallow"/>
        <s v="Shelley Gill"/>
        <s v="Stefan Butler-Gillen"/>
        <s v="Steve Dickinson"/>
        <s v="Steve Dommett"/>
        <s v="Stu Smith"/>
        <s v="Sue Hall"/>
        <s v="Susan Charlesworth"/>
        <s v="Tom Fryers"/>
        <s v="Valentina Wright"/>
      </sharedItems>
    </cacheField>
    <cacheField name="Course" numFmtId="0">
      <sharedItems count="8">
        <s v="Bradfield"/>
        <s v="Broomhead"/>
        <s v="Denby"/>
        <s v="Elsecar"/>
        <s v="Hartcliff"/>
        <s v="Hugset"/>
        <s v="Langsett"/>
        <s v="Winscar"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cordCount="257" createdVersion="3">
  <cacheSource type="worksheet">
    <worksheetSource ref="A1:N258" sheet="scores"/>
  </cacheSource>
  <cacheFields count="14">
    <cacheField name="No" numFmtId="0">
      <sharedItems containsSemiMixedTypes="0" containsString="0" containsNumber="1" containsInteger="1" minValue="1" maxValue="62" count="62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</sharedItems>
    </cacheField>
    <cacheField name="FirstName" numFmtId="0">
      <sharedItems count="42">
        <s v="Alan"/>
        <s v="Andrea"/>
        <s v="Anthony"/>
        <s v="Ben"/>
        <s v="Chris"/>
        <s v="Dave"/>
        <s v="Dean"/>
        <s v="Dommett"/>
        <s v="Gemma"/>
        <s v="Heather"/>
        <s v="Helen"/>
        <s v="Ian"/>
        <s v="James"/>
        <s v="Jemma"/>
        <s v="Jen"/>
        <s v="Jill"/>
        <s v="John"/>
        <s v="Jon"/>
        <s v="Kent"/>
        <s v="Lesley"/>
        <s v="Lisa"/>
        <s v="Mandy"/>
        <s v="Mark"/>
        <s v="Martyn"/>
        <s v="Matthew"/>
        <s v="Michael"/>
        <s v="Myfanwy"/>
        <s v="Nick"/>
        <s v="Paul"/>
        <s v="Rachael"/>
        <s v="Raymond"/>
        <s v="Rogers"/>
        <s v="Sara"/>
        <s v="Sarah"/>
        <s v="Shaun"/>
        <s v="Shelley"/>
        <s v="Stefan"/>
        <s v="Steve"/>
        <s v="Stu"/>
        <s v="Sue"/>
        <s v="Tom"/>
        <s v="Valentina"/>
      </sharedItems>
    </cacheField>
    <cacheField name="Surname" numFmtId="0">
      <sharedItems count="42">
        <s v="Allcroft"/>
        <s v="Baldwin"/>
        <s v="Brown"/>
        <s v="Butler-Gillen"/>
        <s v="Coldwell"/>
        <s v="Cross"/>
        <s v="Crossley"/>
        <s v="Davis"/>
        <s v="Dickinson"/>
        <s v="Dommett"/>
        <s v="Flynn"/>
        <s v="Fryers"/>
        <s v="Gill"/>
        <s v="Goodwin"/>
        <s v="Hall"/>
        <s v="Hallam"/>
        <s v="Halstead"/>
        <s v="Helliwell"/>
        <s v="Henson"/>
        <s v="Hinchliffe"/>
        <s v="Holley"/>
        <s v="Jones-Morris"/>
        <s v="Knox"/>
        <s v="Lawcock"/>
        <s v="Lindley"/>
        <s v="Lovatt"/>
        <s v="Nicholson"/>
        <s v="Nutton"/>
        <s v="Parker"/>
        <s v="Pearce"/>
        <s v="Scrivens"/>
        <s v="Smith"/>
        <s v="Steve"/>
        <s v="Swallow"/>
        <s v="Swanson"/>
        <s v="Whittingham"/>
        <s v="Wilkinson"/>
        <s v="Williams"/>
        <s v="Winterbottom"/>
        <s v="Wolstenholme"/>
        <s v="Wragg"/>
        <s v="Wright"/>
      </sharedItems>
    </cacheField>
    <cacheField name="Controls" numFmtId="0">
      <sharedItems count="147">
        <s v="01;04;13;14;02;15;03;21;16;23;12;11"/>
        <s v="01;04;13;14;02;15;03;21;23;12;11"/>
        <s v="01;04;13;14;02;15;23;12"/>
        <s v="01;04;13;14;02;23;12;11"/>
        <s v="01;11"/>
        <s v="01;11;02;12;07;03;04;06"/>
        <s v="01;11;02;12;07;03;15;04;06"/>
        <s v="01;11;02;12;22;07;03;04;14"/>
        <s v="01;11;02;12;22;13;07;03;04;14"/>
        <s v="01;11;02;12;22;13;07;03;04;14;06"/>
        <s v="01;11;05;21;02;12;07;03;04"/>
        <s v="01;11;12;02;07;03;04;15;14;06;12 (Extra)"/>
        <s v="01;11;12;16;21;22;23"/>
        <s v="01;11;12;23;02;15;03;21;16;22"/>
        <s v="01;11;12;23;22;16;21;03;15;02;14;13;04;01 (Extra)"/>
        <s v="01;11;31;13"/>
        <s v="01;13;02;23;15;12"/>
        <s v="01;15;21;22;11;23;13"/>
        <s v="01;15;21;22;11;23;13;12"/>
        <s v="01;15;21;22;11;23;13;24;12"/>
        <s v="01;15;21;22;11;23;14;13"/>
        <s v="01;21;01 (Extra)"/>
        <s v="01;21;22;11;23;14;16;24;12"/>
        <s v="01;21;22;11;31;13;02;12"/>
        <s v="01;21;22;11;31;13;23;02;12"/>
        <s v="01;21;22;11;31;14;13;02;23;15;12"/>
        <s v="01;22;11;13"/>
        <s v="01;22;11;31;13"/>
        <s v="01;22;11;31;13;14"/>
        <s v="01;22;11;31;14;13;12"/>
        <s v="01;22;14"/>
        <s v="01;22;21;11;31;13;02;12"/>
        <s v="01;22;21;11;31;13;23;02;12"/>
        <s v="01;22;21;11;31;14;13;02;23;15;12"/>
        <s v="01;23;16;15;14;22;04;03;02;11"/>
        <s v="02;11;21;12;13;04;03"/>
        <s v="02;11;21;12;13;04;22;03;01"/>
        <s v="02;11;21;12;13;04;22;14;23;01;03"/>
        <s v="02;11;21;12;13;04;22;23;01"/>
        <s v="02;13;04;22;14;23;01;03"/>
        <s v="03;01;15;16;14;22;04;13;12;21;11"/>
        <s v="03;01;23;16;15;14;22;04;13;12;21;11;02"/>
        <s v="03;04;22;14;15;16;23;01;02"/>
        <s v="03;04;22;14;15;16;23;01;02;11"/>
        <s v="03;23;16;15;14;13;12;21;11;02"/>
        <s v="04;01;21;02;15;22;13;16;03;12;11"/>
        <s v="04;01;21;02;15;22;13;16;03;12;11;14"/>
        <s v="04;01;21;02;15;22;23;13;03;04 (Extra)"/>
        <s v="04;03;13;22;15;02;16;03 (Extra);04 (Extra)"/>
        <s v="04;03;16;13;22;15;02;01;12;11"/>
        <s v="04;03;16;13;22;15;02;21;01;12;11"/>
        <s v="04;03;16;13;22;15;02;21;01;12;11;04 (Extra)"/>
        <s v="06;14;03;07;12;02;11"/>
        <s v="06;14;04;03;07;12;02;11"/>
        <s v="06;14;04;03;07;12;02;11;01"/>
        <s v="06;14;04;03;07;13;12;02;11;01"/>
        <s v="06;14;15;04;03;07;12"/>
        <s v="06;14;15;04;03;07;13;12;02;05;21;11;01"/>
        <s v="06;14;15;04;03;07;13;12;02;11;01"/>
        <s v="06;14;15;04;03;07;13;12;11;01"/>
        <s v="06;16"/>
        <s v="11;01;04;13;14;02;15;03;21;16;22"/>
        <s v="11;01;04;13;14;02;15;03;21;16;23;12"/>
        <s v="11;12;01;02;16;03;04"/>
        <s v="11;12;01;02;16;03;04;11 (Extra);12 (Extra);02 (Extra);16 (Extra);03 (Extra);04 (Extra)"/>
        <s v="11;12;01;04;13;14;02;23;15;03;21;22"/>
        <s v="11;12;01;04;13;14;02;23;15;21;22"/>
        <s v="11;12;01;21;02;15;22;13;16;03;04"/>
        <s v="11;12;01;21;02;16;03;04"/>
        <s v="11;12;01;21;02;16;13;03;04"/>
        <s v="11;12;01;21;02;16;13;22;03;04;13 (Extra)"/>
        <s v="11;12;04;03;16;02;21;01;15;22;13;23;14;02 (Extra)"/>
        <s v="11;12;04;03;16;13;22;23"/>
        <s v="11;12;04;03;16;13;23"/>
        <s v="11;12;23;15;03;21;16;22"/>
        <s v="11;12;23;16;21;03;15;02;14;13;04;01"/>
        <s v="11;12;23;16;22"/>
        <s v="11;13;04;22;14;23;01;03;02"/>
        <s v="11;21;12;13;04;22;03;02"/>
        <s v="11;21;12;13;04;22;14;15;16;23;01;03"/>
        <s v="11;21;12;13;04;22;14;15;16;23;01;03;02"/>
        <s v="11;21;12;13;04;22;14;15;23;01;03;02"/>
        <s v="11;21;12;13;04;22;14;16;15;23;01"/>
        <s v="11;21;12;13;04;22;14;16;15;23;01;03;02"/>
        <s v="11;21;12;13;04;22;14;23;01"/>
        <s v="11;21;12;13;04;22;14;23;01;03"/>
        <s v="11;21;12;13;04;22;14;23;01;03;02"/>
        <s v="11;21;12;13;04;22;23;01;02"/>
        <s v="11;21;12;13;04;22;23;01;03;02"/>
        <s v="12;02;13;31;11;21;22;01"/>
        <s v="12;02;13;31;11;22;01"/>
        <s v="12;02;23;13;14;31;13 (Extra);13 (Extra);02 (Extra);12 (Extra)"/>
        <s v="12;02;23;13;22;01;11;31"/>
        <s v="12;02;23;13;31;11"/>
        <s v="12;02;23;13;31;11;21;22;01"/>
        <s v="12;02;23;13;31;11;21;22;01;02 (Extra);22 (Extra)"/>
        <s v="12;02;23;13;31;11;22"/>
        <s v="12;02;23;13;31;11;22;01"/>
        <s v="12;13;01;15"/>
        <s v="12;13;31;11;22"/>
        <s v="12;15;23;02;13;31;11;22;01"/>
        <s v="12;23;02;13;31;11;22;01"/>
        <s v="13;14;16;24;12"/>
        <s v="13;23;14;16;24;12"/>
        <s v="14;03;07;12"/>
        <s v="14;04"/>
        <s v="14;04;03;07;13;12;02;05;11;01"/>
        <s v="14;11;12;01;02;16;03;04"/>
        <s v="14;11;12;01;21;02;15;16;03;04;02 (Extra)"/>
        <s v="14;11;12;04"/>
        <s v="14;23;13;22;15;02;16;03;12;11"/>
        <s v="14;23;16;02;15;01;04"/>
        <s v="14;23;16;02;15;01;04;02 (Extra)"/>
        <s v="14;23;16;03;04;11"/>
        <s v="14;23;22;13;16;03;01;04"/>
        <s v="14;23;22;13;16;03;04;12;11"/>
        <s v="15;01;21;22;11;23;01 (Extra)"/>
        <s v="15;01;21;22;11;23;13"/>
        <s v="15;01;21;22;11;23;13;12"/>
        <s v="15;01;21;22;11;23;13;14;16;24;12"/>
        <s v="15;01;21;22;11;23;14;16;24;12"/>
        <s v="15;21;01;12"/>
        <s v="21;12;13;04;22;14;23;01;03;02;11"/>
        <s v="22;12"/>
        <s v="22;16;03;15;23;02;14;13;04;01"/>
        <s v="22;16;15;23;02;14;13;04;01"/>
        <s v="22;16;15;23;02;14;13;04;01;11"/>
        <s v="22;16;21;03;15;02;14;23;12;01;02 (Extra)"/>
        <s v="22;16;21;03;15;02;14;23;12;02 (Extra)"/>
        <s v="22;16;21;03;15;02;14;23;12;11;02 (Extra)"/>
        <s v="22;16;21;03;15;02;23;12;01;11"/>
        <s v="22;16;21;03;15;02;23;12;11"/>
        <s v="22;16;21;03;15;02;23;12;11;01"/>
        <s v="22;16;21;03;15;23;02;14;13;04;01;11"/>
        <s v="22;16;21;03;15;23;02;14;13;04;01;11;12"/>
        <s v="22;16;21;03;15;23;02;14;13;04;01;12;11"/>
        <s v="22;16;21;03;15;23;12;11;01"/>
        <s v="22;16;21;03;15;23;12;11;02"/>
        <s v="22;16;21;15;23;02;14;13;04;01;11;12"/>
        <s v="22;16;23;02;14;13;04;01"/>
        <s v="22;16;23;02;14;13;04;01;11"/>
        <s v="22;16;23;12;11;01"/>
        <s v="22;21;01"/>
        <s v="22;21;03;15;16;23;02;14;13;04;01;11"/>
        <s v="22;21;03;15;16;23;02;14;13;04;01;11;12"/>
        <s v="22;23;16;21;03;15;02;14;13;04;01;11"/>
        <s v="22;23;16;21;03;15;02;14;13;04;01;12;11"/>
      </sharedItems>
    </cacheField>
    <cacheField name="Time" numFmtId="0">
      <sharedItems containsSemiMixedTypes="0" containsString="0" containsNumber="1" minValue="0" maxValue="2.49166666666667" count="233">
        <n v="0"/>
        <n v="0.0416782407407407"/>
        <n v="0.0416898148148148"/>
        <n v="0.0417592592592593"/>
        <n v="0.0418865740740741"/>
        <n v="0.0418981481481482"/>
        <n v="0.0419097222222222"/>
        <n v="0.0420023148148148"/>
        <n v="0.0420717592592593"/>
        <n v="0.0424421296296296"/>
        <n v="0.0428587962962963"/>
        <n v="0.0428819444444444"/>
        <n v="0.043275462962963"/>
        <n v="0.043287037037037"/>
        <n v="0.0434837962962963"/>
        <n v="0.0436689814814815"/>
        <n v="0.0437847222222222"/>
        <n v="0.0442824074074074"/>
        <n v="0.0442939814814815"/>
        <n v="0.0448263888888889"/>
        <n v="0.044837962962963"/>
        <n v="0.0448842592592593"/>
        <n v="0.0461689814814815"/>
        <n v="0.0462384259259259"/>
        <n v="0.0480092592592593"/>
        <n v="0.0485532407407407"/>
        <n v="0.0487152777777778"/>
        <n v="0.0487731481481482"/>
        <n v="0.049212962962963"/>
        <n v="0.0492361111111111"/>
        <n v="0.0492476851851852"/>
        <n v="0.0493865740740741"/>
        <n v="0.0497106481481482"/>
        <n v="0.0497453703703704"/>
        <n v="0.0499537037037037"/>
        <n v="0.0506597222222222"/>
        <n v="0.0522800925925926"/>
        <n v="0.0525462962962963"/>
        <n v="0.0526273148148148"/>
        <n v="0.052662037037037"/>
        <n v="0.0529976851851852"/>
        <n v="0.0530324074074074"/>
        <n v="0.0530439814814815"/>
        <n v="0.0532060185185185"/>
        <n v="0.0532291666666667"/>
        <n v="0.0534490740740741"/>
        <n v="0.0537037037037037"/>
        <n v="0.0537268518518519"/>
        <n v="0.0539583333333333"/>
        <n v="0.0540509259259259"/>
        <n v="0.0541319444444445"/>
        <n v="0.054212962962963"/>
        <n v="0.0542476851851852"/>
        <n v="0.0542592592592593"/>
        <n v="0.0543634259259259"/>
        <n v="0.054375"/>
        <n v="0.0547453703703704"/>
        <n v="0.0549189814814815"/>
        <n v="0.0552777777777778"/>
        <n v="0.0559722222222222"/>
        <n v="0.0560185185185185"/>
        <n v="0.0560300925925926"/>
        <n v="0.0566782407407407"/>
        <n v="0.0572800925925926"/>
        <n v="0.0578125"/>
        <n v="0.0589930555555556"/>
        <n v="0.0590393518518519"/>
        <n v="0.0595833333333333"/>
        <n v="0.0619791666666667"/>
        <n v="0.0627314814814815"/>
        <n v="0.0650810185185185"/>
        <n v="0.0743634259259259"/>
        <n v="0.0778009259259259"/>
        <n v="0.0778125"/>
        <n v="0.0819328703703704"/>
        <n v="0.0871759259259259"/>
        <n v="0.089224537037037"/>
        <n v="0.0892476851851852"/>
        <n v="0.0893402777777778"/>
        <n v="0.0918287037037037"/>
        <n v="0.0918634259259259"/>
        <n v="0.0950578703703704"/>
        <n v="0.0951273148148148"/>
        <n v="0.0951736111111111"/>
        <n v="0.101851851851852"/>
        <n v="0.103020833333333"/>
        <n v="0.112106481481481"/>
        <n v="1.42847222222222"/>
        <n v="1.44861111111111"/>
        <n v="1.45555555555556"/>
        <n v="1.46875"/>
        <n v="1.49375"/>
        <n v="1.49861111111111"/>
        <n v="1.50833333333333"/>
        <n v="1.50902777777778"/>
        <n v="1.51180555555556"/>
        <n v="1.53541666666667"/>
        <n v="1.53958333333333"/>
        <n v="1.54097222222222"/>
        <n v="1.56111111111111"/>
        <n v="1.56458333333333"/>
        <n v="1.56805555555556"/>
        <n v="1.57291666666667"/>
        <n v="1.57361111111111"/>
        <n v="1.58402777777778"/>
        <n v="1.5875"/>
        <n v="1.59652777777778"/>
        <n v="1.60416666666667"/>
        <n v="1.60972222222222"/>
        <n v="1.62708333333333"/>
        <n v="1.62986111111111"/>
        <n v="1.63333333333333"/>
        <n v="1.63402777777778"/>
        <n v="1.63541666666667"/>
        <n v="1.6375"/>
        <n v="1.63819444444444"/>
        <n v="1.63888888888889"/>
        <n v="1.63958333333333"/>
        <n v="1.64722222222222"/>
        <n v="1.65416666666667"/>
        <n v="1.65625"/>
        <n v="1.65763888888889"/>
        <n v="1.65902777777778"/>
        <n v="1.69722222222222"/>
        <n v="1.7"/>
        <n v="1.73611111111111"/>
        <n v="1.74166666666667"/>
        <n v="1.74375"/>
        <n v="1.75347222222222"/>
        <n v="1.76458333333333"/>
        <n v="1.79027777777778"/>
        <n v="1.80138888888889"/>
        <n v="1.80902777777778"/>
        <n v="1.82777777777778"/>
        <n v="1.85625"/>
        <n v="1.85694444444444"/>
        <n v="1.87916666666667"/>
        <n v="1.88333333333333"/>
        <n v="1.90486111111111"/>
        <n v="1.90972222222222"/>
        <n v="1.95833333333333"/>
        <n v="1.96041666666667"/>
        <n v="1.96111111111111"/>
        <n v="1.96875"/>
        <n v="1.97291666666667"/>
        <n v="1.97430555555556"/>
        <n v="1.98333333333333"/>
        <n v="1.99027777777778"/>
        <n v="2.00416666666667"/>
        <n v="2.00694444444444"/>
        <n v="2.00902777777778"/>
        <n v="2.00972222222222"/>
        <n v="2.01041666666667"/>
        <n v="2.01597222222222"/>
        <n v="2.03055555555556"/>
        <n v="2.03402777777778"/>
        <n v="2.04444444444444"/>
        <n v="2.04583333333333"/>
        <n v="2.04861111111111"/>
        <n v="2.05555555555556"/>
        <n v="2.05625"/>
        <n v="2.07152777777778"/>
        <n v="2.08125"/>
        <n v="2.09236111111111"/>
        <n v="2.10416666666667"/>
        <n v="2.11111111111111"/>
        <n v="2.11319444444444"/>
        <n v="2.11666666666667"/>
        <n v="2.14583333333333"/>
        <n v="2.15069444444444"/>
        <n v="2.15972222222222"/>
        <n v="2.16875"/>
        <n v="2.17638888888889"/>
        <n v="2.19027777777778"/>
        <n v="2.19305555555556"/>
        <n v="2.20694444444444"/>
        <n v="2.21388888888889"/>
        <n v="2.21666666666667"/>
        <n v="2.21736111111111"/>
        <n v="2.22361111111111"/>
        <n v="2.23125"/>
        <n v="2.23333333333333"/>
        <n v="2.24652777777778"/>
        <n v="2.25347222222222"/>
        <n v="2.25625"/>
        <n v="2.26597222222222"/>
        <n v="2.26666666666667"/>
        <n v="2.27222222222222"/>
        <n v="2.27847222222222"/>
        <n v="2.27916666666667"/>
        <n v="2.28263888888889"/>
        <n v="2.28472222222222"/>
        <n v="2.28888888888889"/>
        <n v="2.29097222222222"/>
        <n v="2.29305555555556"/>
        <n v="2.30486111111111"/>
        <n v="2.33402777777778"/>
        <n v="2.33472222222222"/>
        <n v="2.33680555555556"/>
        <n v="2.34305555555556"/>
        <n v="2.35486111111111"/>
        <n v="2.35625"/>
        <n v="2.35902777777778"/>
        <n v="2.36111111111111"/>
        <n v="2.36388888888889"/>
        <n v="2.36458333333333"/>
        <n v="2.36805555555556"/>
        <n v="2.37291666666667"/>
        <n v="2.37777777777778"/>
        <n v="2.37986111111111"/>
        <n v="2.38125"/>
        <n v="2.38194444444444"/>
        <n v="2.38402777777778"/>
        <n v="2.38541666666667"/>
        <n v="2.38680555555556"/>
        <n v="2.38819444444444"/>
        <n v="2.39305555555556"/>
        <n v="2.39444444444444"/>
        <n v="2.40138888888889"/>
        <n v="2.40208333333333"/>
        <n v="2.40694444444444"/>
        <n v="2.41736111111111"/>
        <n v="2.42291666666667"/>
        <n v="2.42361111111111"/>
        <n v="2.43333333333333"/>
        <n v="2.43402777777778"/>
        <n v="2.44513888888889"/>
        <n v="2.44861111111111"/>
        <n v="2.44930555555556"/>
        <n v="2.46388888888889"/>
        <n v="2.47013888888889"/>
        <n v="2.47777777777778"/>
        <n v="2.49166666666667"/>
      </sharedItems>
    </cacheField>
    <cacheField name="GrossPoints" numFmtId="0">
      <sharedItems containsSemiMixedTypes="0" containsString="0" containsNumber="1" containsInteger="1" minValue="30" maxValue="250" count="23">
        <n v="30"/>
        <n v="40"/>
        <n v="50"/>
        <n v="60"/>
        <n v="70"/>
        <n v="80"/>
        <n v="90"/>
        <n v="100"/>
        <n v="110"/>
        <n v="120"/>
        <n v="130"/>
        <n v="140"/>
        <n v="150"/>
        <n v="160"/>
        <n v="170"/>
        <n v="180"/>
        <n v="190"/>
        <n v="200"/>
        <n v="210"/>
        <n v="220"/>
        <n v="230"/>
        <n v="240"/>
        <n v="250"/>
      </sharedItems>
    </cacheField>
    <cacheField name="NetPoints" numFmtId="0">
      <sharedItems containsSemiMixedTypes="0" containsString="0" containsNumber="1" containsInteger="1" minValue="-770" maxValue="250" count="43">
        <n v="-770"/>
        <n v="-690"/>
        <n v="-640"/>
        <n v="-500"/>
        <n v="-460"/>
        <n v="-450"/>
        <n v="-400"/>
        <n v="-390"/>
        <n v="-380"/>
        <n v="-340"/>
        <n v="-320"/>
        <n v="-170"/>
        <n v="-160"/>
        <n v="-80"/>
        <n v="-70"/>
        <n v="-60"/>
        <n v="-50"/>
        <n v="-40"/>
        <n v="-30"/>
        <n v="-20"/>
        <n v="30"/>
        <n v="40"/>
        <n v="50"/>
        <n v="60"/>
        <n v="70"/>
        <n v="80"/>
        <n v="90"/>
        <n v="100"/>
        <n v="110"/>
        <n v="120"/>
        <n v="130"/>
        <n v="140"/>
        <n v="150"/>
        <n v="160"/>
        <n v="170"/>
        <n v="180"/>
        <n v="190"/>
        <n v="200"/>
        <n v="210"/>
        <n v="220"/>
        <n v="230"/>
        <n v="240"/>
        <n v="250"/>
      </sharedItems>
    </cacheField>
    <cacheField name="Km" numFmtId="0">
      <sharedItems containsSemiMixedTypes="0" containsString="0" containsNumber="1" minValue="3.65" maxValue="14.71" count="205">
        <n v="3.65"/>
        <n v="3.8"/>
        <n v="4.18"/>
        <n v="4.3"/>
        <n v="4.31"/>
        <n v="4.33"/>
        <n v="4.35"/>
        <n v="4.53"/>
        <n v="4.79"/>
        <n v="4.87"/>
        <n v="4.92"/>
        <n v="5.52"/>
        <n v="5.56"/>
        <n v="5.61"/>
        <n v="5.66"/>
        <n v="5.69"/>
        <n v="5.74"/>
        <n v="5.78"/>
        <n v="5.94"/>
        <n v="6.06"/>
        <n v="6.08"/>
        <n v="6.19"/>
        <n v="6.24"/>
        <n v="6.26"/>
        <n v="6.34"/>
        <n v="6.39"/>
        <n v="6.42"/>
        <n v="6.44"/>
        <n v="6.45"/>
        <n v="6.48"/>
        <n v="6.55"/>
        <n v="6.58"/>
        <n v="6.6"/>
        <n v="6.61"/>
        <n v="6.65"/>
        <n v="6.66"/>
        <n v="6.71"/>
        <n v="6.73"/>
        <n v="6.74"/>
        <n v="6.78"/>
        <n v="6.81"/>
        <n v="6.85"/>
        <n v="6.87"/>
        <n v="6.89"/>
        <n v="6.92"/>
        <n v="6.94"/>
        <n v="6.99"/>
        <n v="7"/>
        <n v="7.01"/>
        <n v="7.02"/>
        <n v="7.05"/>
        <n v="7.08"/>
        <n v="7.09"/>
        <n v="7.1"/>
        <n v="7.13"/>
        <n v="7.16"/>
        <n v="7.2"/>
        <n v="7.27"/>
        <n v="7.28"/>
        <n v="7.33"/>
        <n v="7.35"/>
        <n v="7.36"/>
        <n v="7.38"/>
        <n v="7.43"/>
        <n v="7.45"/>
        <n v="7.5"/>
        <n v="7.54"/>
        <n v="7.63"/>
        <n v="7.64"/>
        <n v="7.65"/>
        <n v="7.7"/>
        <n v="7.72"/>
        <n v="7.75"/>
        <n v="7.77"/>
        <n v="7.78"/>
        <n v="7.85"/>
        <n v="7.88"/>
        <n v="7.97"/>
        <n v="7.99"/>
        <n v="8.02"/>
        <n v="8.09"/>
        <n v="8.1"/>
        <n v="8.14"/>
        <n v="8.16"/>
        <n v="8.17"/>
        <n v="8.21"/>
        <n v="8.23"/>
        <n v="8.27"/>
        <n v="8.28"/>
        <n v="8.3"/>
        <n v="8.31"/>
        <n v="8.34"/>
        <n v="8.35"/>
        <n v="8.37"/>
        <n v="8.39"/>
        <n v="8.42"/>
        <n v="8.45"/>
        <n v="8.46"/>
        <n v="8.48"/>
        <n v="8.5"/>
        <n v="8.52"/>
        <n v="8.56"/>
        <n v="8.57"/>
        <n v="8.6"/>
        <n v="8.63"/>
        <n v="8.85"/>
        <n v="8.86"/>
        <n v="8.88"/>
        <n v="8.89"/>
        <n v="8.91"/>
        <n v="8.92"/>
        <n v="8.97"/>
        <n v="9.01"/>
        <n v="9.02"/>
        <n v="9.03"/>
        <n v="9.05"/>
        <n v="9.09"/>
        <n v="9.19"/>
        <n v="9.27"/>
        <n v="9.29"/>
        <n v="9.32"/>
        <n v="9.35"/>
        <n v="9.37"/>
        <n v="9.41"/>
        <n v="9.44"/>
        <n v="9.45"/>
        <n v="9.46"/>
        <n v="9.47"/>
        <n v="9.49"/>
        <n v="9.52"/>
        <n v="9.53"/>
        <n v="9.56"/>
        <n v="9.57"/>
        <n v="9.62"/>
        <n v="9.64"/>
        <n v="9.65"/>
        <n v="9.75"/>
        <n v="9.76"/>
        <n v="9.81"/>
        <n v="9.83"/>
        <n v="9.93"/>
        <n v="9.95"/>
        <n v="9.97"/>
        <n v="10.09"/>
        <n v="10.19"/>
        <n v="10.21"/>
        <n v="10.24"/>
        <n v="10.25"/>
        <n v="10.31"/>
        <n v="10.36"/>
        <n v="10.37"/>
        <n v="10.41"/>
        <n v="10.47"/>
        <n v="10.49"/>
        <n v="10.5"/>
        <n v="10.54"/>
        <n v="10.56"/>
        <n v="10.61"/>
        <n v="10.76"/>
        <n v="10.8"/>
        <n v="10.92"/>
        <n v="10.95"/>
        <n v="10.97"/>
        <n v="10.99"/>
        <n v="11.03"/>
        <n v="11.08"/>
        <n v="11.1"/>
        <n v="11.12"/>
        <n v="11.19"/>
        <n v="11.31"/>
        <n v="11.33"/>
        <n v="11.39"/>
        <n v="11.49"/>
        <n v="11.56"/>
        <n v="11.61"/>
        <n v="11.62"/>
        <n v="11.64"/>
        <n v="11.68"/>
        <n v="11.71"/>
        <n v="11.85"/>
        <n v="11.89"/>
        <n v="11.93"/>
        <n v="11.95"/>
        <n v="11.96"/>
        <n v="11.97"/>
        <n v="12.07"/>
        <n v="12.11"/>
        <n v="12.12"/>
        <n v="12.21"/>
        <n v="12.28"/>
        <n v="12.29"/>
        <n v="12.39"/>
        <n v="12.41"/>
        <n v="12.43"/>
        <n v="12.62"/>
        <n v="12.64"/>
        <n v="12.75"/>
        <n v="13.02"/>
        <n v="13.18"/>
        <n v="13.19"/>
        <n v="13.32"/>
        <n v="13.54"/>
        <n v="13.94"/>
        <n v="14.32"/>
        <n v="14.71"/>
      </sharedItems>
    </cacheField>
    <cacheField name="OverallPosition" numFmtId="0">
      <sharedItems count="63">
        <s v="JM:1"/>
        <s v="JM:2"/>
        <s v="SM:1"/>
        <s v="SM:10"/>
        <s v="SM:11"/>
        <s v="SM:12"/>
        <s v="SM:13"/>
        <s v="SM:14"/>
        <s v="SM:15"/>
        <s v="SM:16"/>
        <s v="SM:17"/>
        <s v="SM:18"/>
        <s v="SM:19"/>
        <s v="SM:2"/>
        <s v="SM:20"/>
        <s v="SM:21"/>
        <s v="SM:22"/>
        <s v="SM:23"/>
        <s v="SM:24"/>
        <s v="SM:25"/>
        <s v="SM:26"/>
        <s v="SM:27"/>
        <s v="SM:28"/>
        <s v="SM:29"/>
        <s v="SM:3"/>
        <s v="SM:30"/>
        <s v="SM:31"/>
        <s v="SM:32"/>
        <s v="SM:33"/>
        <s v="SM:34"/>
        <s v="SM:35"/>
        <s v="SM:36"/>
        <s v="SM:37"/>
        <s v="SM:38"/>
        <s v="SM:39"/>
        <s v="SM:4"/>
        <s v="SM:40"/>
        <s v="SM:5"/>
        <s v="SM:6"/>
        <s v="SM:7"/>
        <s v="SM:8"/>
        <s v="SM:9"/>
        <s v="SW:1"/>
        <s v="SW:10"/>
        <s v="SW:11"/>
        <s v="SW:12"/>
        <s v="SW:13"/>
        <s v="SW:14"/>
        <s v="SW:15"/>
        <s v="SW:16"/>
        <s v="SW:17"/>
        <s v="SW:18"/>
        <s v="SW:19"/>
        <s v="SW:2"/>
        <s v="SW:20"/>
        <s v="SW:21"/>
        <s v="SW:3"/>
        <s v="SW:4"/>
        <s v="SW:5"/>
        <s v="SW:6"/>
        <s v="SW:7"/>
        <s v="SW:8"/>
        <s v="SW:9"/>
      </sharedItems>
    </cacheField>
    <cacheField name="AgeCatPosition" numFmtId="0">
      <sharedItems count="80">
        <s v="M15-19:1"/>
        <s v="M15-19:2"/>
        <s v="M20-24:1"/>
        <s v="M20-24:2"/>
        <s v="M25-29:1"/>
        <s v="M25-29:2"/>
        <s v="M35-39:1"/>
        <s v="M35-39:2"/>
        <s v="M40-44:1"/>
        <s v="M40-44:2"/>
        <s v="M40-44:3"/>
        <s v="M40-44:4"/>
        <s v="M45-49:1"/>
        <s v="M45-49:2"/>
        <s v="M45-49:3"/>
        <s v="M45-49:4"/>
        <s v="M45-49:5"/>
        <s v="M50-54:1"/>
        <s v="M50-54:2"/>
        <s v="M50-54:3"/>
        <s v="M50-54:4"/>
        <s v="M55-59:1"/>
        <s v="M55-59:10"/>
        <s v="M55-59:11"/>
        <s v="M55-59:12"/>
        <s v="M55-59:13"/>
        <s v="M55-59:14"/>
        <s v="M55-59:15"/>
        <s v="M55-59:2"/>
        <s v="M55-59:3"/>
        <s v="M55-59:4"/>
        <s v="M55-59:5"/>
        <s v="M55-59:6"/>
        <s v="M55-59:7"/>
        <s v="M55-59:8"/>
        <s v="M55-59:9"/>
        <s v="M60-64:1"/>
        <s v="M60-64:2"/>
        <s v="M60-64:3"/>
        <s v="M60-64:4"/>
        <s v="M60-64:5"/>
        <s v="M60-64:6"/>
        <s v="M65-69:1"/>
        <s v="M70-74:1"/>
        <s v="M70-74:2"/>
        <s v="M70-74:3"/>
        <s v="M70-74:4"/>
        <s v="M70-74:5"/>
        <s v="M70-74:6"/>
        <s v="M70-74:7"/>
        <s v="M70-74:8"/>
        <s v="M85-89:1"/>
        <s v="M85-89:2"/>
        <s v="W25-29:1"/>
        <s v="W30-34:1"/>
        <s v="W30-34:2"/>
        <s v="W30-34:3"/>
        <s v="W30-34:4"/>
        <s v="W40-44:1"/>
        <s v="W40-44:2"/>
        <s v="W40-44:3"/>
        <s v="W40-44:4"/>
        <s v="W40-44:5"/>
        <s v="W45-49:1"/>
        <s v="W50-54:1"/>
        <s v="W50-54:2"/>
        <s v="W50-54:3"/>
        <s v="W55-59:1"/>
        <s v="W55-59:2"/>
        <s v="W55-59:3"/>
        <s v="W55-59:4"/>
        <s v="W55-59:5"/>
        <s v="W55-59:6"/>
        <s v="W55-59:7"/>
        <s v="W60-64:1"/>
        <s v="W60-64:2"/>
        <s v="W60-64:3"/>
        <s v="W65-69:1"/>
        <s v="W65-69:2"/>
        <s v="W70-74:1"/>
      </sharedItems>
    </cacheField>
    <cacheField name="RunDate" numFmtId="0">
      <sharedItems containsSemiMixedTypes="0" containsNonDate="0" containsDate="1" containsString="0" minDate="2025-04-03T00:00:00" maxDate="2025-09-30T00:00:00" count="113">
        <d v="2025-04-03T00:00:00"/>
        <d v="2025-04-05T00:00:00"/>
        <d v="2025-04-06T00:00:00"/>
        <d v="2025-04-07T00:00:00"/>
        <d v="2025-04-08T00:00:00"/>
        <d v="2025-04-09T00:00:00"/>
        <d v="2025-04-10T00:00:00"/>
        <d v="2025-04-13T00:00:00"/>
        <d v="2025-04-15T00:00:00"/>
        <d v="2025-04-17T00:00:00"/>
        <d v="2025-04-18T00:00:00"/>
        <d v="2025-04-19T00:00:00"/>
        <d v="2025-04-20T00:00:00"/>
        <d v="2025-04-22T00:00:00"/>
        <d v="2025-04-23T00:00:00"/>
        <d v="2025-04-24T00:00:00"/>
        <d v="2025-04-25T00:00:00"/>
        <d v="2025-04-26T00:00:00"/>
        <d v="2025-04-27T00:00:00"/>
        <d v="2025-04-28T00:00:00"/>
        <d v="2025-04-29T00:00:00"/>
        <d v="2025-04-30T00:00:00"/>
        <d v="2025-05-04T00:00:00"/>
        <d v="2025-05-05T00:00:00"/>
        <d v="2025-05-06T00:00:00"/>
        <d v="2025-05-08T00:00:00"/>
        <d v="2025-05-11T00:00:00"/>
        <d v="2025-05-12T00:00:00"/>
        <d v="2025-05-13T00:00:00"/>
        <d v="2025-05-15T00:00:00"/>
        <d v="2025-05-16T00:00:00"/>
        <d v="2025-05-17T00:00:00"/>
        <d v="2025-05-20T00:00:00"/>
        <d v="2025-05-22T00:00:00"/>
        <d v="2025-05-23T00:00:00"/>
        <d v="2025-05-24T00:00:00"/>
        <d v="2025-05-25T00:00:00"/>
        <d v="2025-05-26T00:00:00"/>
        <d v="2025-05-27T00:00:00"/>
        <d v="2025-05-28T00:00:00"/>
        <d v="2025-05-29T00:00:00"/>
        <d v="2025-05-30T00:00:00"/>
        <d v="2025-05-31T00:00:00"/>
        <d v="2025-06-01T00:00:00"/>
        <d v="2025-06-05T00:00:00"/>
        <d v="2025-06-08T00:00:00"/>
        <d v="2025-06-09T00:00:00"/>
        <d v="2025-06-11T00:00:00"/>
        <d v="2025-06-16T00:00:00"/>
        <d v="2025-06-19T00:00:00"/>
        <d v="2025-06-23T00:00:00"/>
        <d v="2025-06-24T00:00:00"/>
        <d v="2025-06-25T00:00:00"/>
        <d v="2025-06-26T00:00:00"/>
        <d v="2025-06-29T00:00:00"/>
        <d v="2025-07-01T00:00:00"/>
        <d v="2025-07-02T00:00:00"/>
        <d v="2025-07-05T00:00:00"/>
        <d v="2025-07-07T00:00:00"/>
        <d v="2025-07-10T00:00:00"/>
        <d v="2025-07-14T00:00:00"/>
        <d v="2025-07-16T00:00:00"/>
        <d v="2025-07-17T00:00:00"/>
        <d v="2025-07-18T00:00:00"/>
        <d v="2025-07-20T00:00:00"/>
        <d v="2025-07-21T00:00:00"/>
        <d v="2025-07-22T00:00:00"/>
        <d v="2025-07-23T00:00:00"/>
        <d v="2025-07-24T00:00:00"/>
        <d v="2025-07-25T00:00:00"/>
        <d v="2025-07-26T00:00:00"/>
        <d v="2025-07-27T00:00:00"/>
        <d v="2025-07-28T00:00:00"/>
        <d v="2025-07-29T00:00:00"/>
        <d v="2025-07-31T00:00:00"/>
        <d v="2025-08-07T00:00:00"/>
        <d v="2025-08-08T00:00:00"/>
        <d v="2025-08-10T00:00:00"/>
        <d v="2025-08-11T00:00:00"/>
        <d v="2025-08-12T00:00:00"/>
        <d v="2025-08-13T00:00:00"/>
        <d v="2025-08-14T00:00:00"/>
        <d v="2025-08-15T00:00:00"/>
        <d v="2025-08-16T00:00:00"/>
        <d v="2025-08-18T00:00:00"/>
        <d v="2025-08-21T00:00:00"/>
        <d v="2025-08-22T00:00:00"/>
        <d v="2025-08-24T00:00:00"/>
        <d v="2025-08-26T00:00:00"/>
        <d v="2025-08-27T00:00:00"/>
        <d v="2025-08-28T00:00:00"/>
        <d v="2025-08-31T00:00:00"/>
        <d v="2025-09-01T00:00:00"/>
        <d v="2025-09-02T00:00:00"/>
        <d v="2025-09-03T00:00:00"/>
        <d v="2025-09-04T00:00:00"/>
        <d v="2025-09-06T00:00:00"/>
        <d v="2025-09-08T00:00:00"/>
        <d v="2025-09-12T00:00:00"/>
        <d v="2025-09-13T00:00:00"/>
        <d v="2025-09-14T00:00:00"/>
        <d v="2025-09-16T00:00:00"/>
        <d v="2025-09-17T00:00:00"/>
        <d v="2025-09-19T00:00:00"/>
        <d v="2025-09-20T00:00:00"/>
        <d v="2025-09-21T00:00:00"/>
        <d v="2025-09-22T00:00:00"/>
        <d v="2025-09-23T00:00:00"/>
        <d v="2025-09-24T00:00:00"/>
        <d v="2025-09-25T00:00:00"/>
        <d v="2025-09-27T00:00:00"/>
        <d v="2025-09-28T00:00:00"/>
        <d v="2025-09-30T00:00:00"/>
      </sharedItems>
    </cacheField>
    <cacheField name="RunnerId" numFmtId="0">
      <sharedItems containsSemiMixedTypes="0" containsString="0" containsNumber="1" containsInteger="1" minValue="2" maxValue="63" count="62"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</sharedItems>
    </cacheField>
    <cacheField name="Runner" numFmtId="0">
      <sharedItems count="46">
        <s v="Alan Knox"/>
        <s v="Andrea Henson"/>
        <s v="Anthony Wright"/>
        <s v="Ben Wilkinson"/>
        <s v="Chris Baldwin"/>
        <s v="Dave Lovatt"/>
        <s v="Dean Allcroft"/>
        <s v="Dommett Steve"/>
        <s v="Gemma Nutton"/>
        <s v="Heather Lindley"/>
        <s v="Helen Fryers"/>
        <s v="Ian Wragg"/>
        <s v="James Fryers"/>
        <s v="Jemma Williams"/>
        <s v="Jen Holley"/>
        <s v="Jill Davis"/>
        <s v="Jill Scrivens"/>
        <s v="John Lawcock"/>
        <s v="Jon Hallam"/>
        <s v="Kent Swanson"/>
        <s v="Lesley Parker"/>
        <s v="Lisa Hinchliffe"/>
        <s v="Mandy Helliwell"/>
        <s v="Mark Crossley"/>
        <s v="Mark Pearce"/>
        <s v="Martyn Goodwin"/>
        <s v="Matthew Coldwell"/>
        <s v="Michael Nicholson"/>
        <s v="Myfanwy Cross"/>
        <s v="Nick Whittingham"/>
        <s v="Paul Fryers"/>
        <s v="Rachael Winterbottom"/>
        <s v="Raymond Brown"/>
        <s v="Rogers Flynn"/>
        <s v="Sara Wolstenholme"/>
        <s v="Sarah Halstead"/>
        <s v="Sarah Jones-Morris"/>
        <s v="Shaun Swallow"/>
        <s v="Shelley Gill"/>
        <s v="Stefan Butler-Gillen"/>
        <s v="Steve Dickinson"/>
        <s v="Steve Dommett"/>
        <s v="Stu Smith"/>
        <s v="Sue Hall"/>
        <s v="Tom Fryers"/>
        <s v="Valentina Wright"/>
      </sharedItems>
    </cacheField>
    <cacheField name="Course" numFmtId="0">
      <sharedItems count="6">
        <s v="Broomhead"/>
        <s v="Elsecar"/>
        <s v="Hartcliff"/>
        <s v="Hugset"/>
        <s v="Langsett"/>
        <s v="Winscar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13">
  <r>
    <x v="0"/>
    <x v="41"/>
    <x v="13"/>
    <x v="182"/>
    <x v="123"/>
    <x v="23"/>
    <x v="46"/>
    <x v="99"/>
    <x v="2"/>
    <x v="2"/>
    <x v="10"/>
    <x v="48"/>
    <x v="47"/>
    <x v="4"/>
  </r>
  <r>
    <x v="1"/>
    <x v="12"/>
    <x v="13"/>
    <x v="182"/>
    <x v="131"/>
    <x v="23"/>
    <x v="46"/>
    <x v="100"/>
    <x v="13"/>
    <x v="3"/>
    <x v="10"/>
    <x v="15"/>
    <x v="12"/>
    <x v="4"/>
  </r>
  <r>
    <x v="2"/>
    <x v="2"/>
    <x v="44"/>
    <x v="173"/>
    <x v="144"/>
    <x v="23"/>
    <x v="46"/>
    <x v="110"/>
    <x v="24"/>
    <x v="21"/>
    <x v="42"/>
    <x v="61"/>
    <x v="2"/>
    <x v="4"/>
  </r>
  <r>
    <x v="3"/>
    <x v="2"/>
    <x v="44"/>
    <x v="173"/>
    <x v="146"/>
    <x v="23"/>
    <x v="46"/>
    <x v="110"/>
    <x v="35"/>
    <x v="28"/>
    <x v="42"/>
    <x v="60"/>
    <x v="2"/>
    <x v="4"/>
  </r>
  <r>
    <x v="4"/>
    <x v="17"/>
    <x v="17"/>
    <x v="172"/>
    <x v="149"/>
    <x v="23"/>
    <x v="46"/>
    <x v="100"/>
    <x v="37"/>
    <x v="12"/>
    <x v="23"/>
    <x v="54"/>
    <x v="19"/>
    <x v="4"/>
  </r>
  <r>
    <x v="5"/>
    <x v="17"/>
    <x v="17"/>
    <x v="173"/>
    <x v="150"/>
    <x v="23"/>
    <x v="46"/>
    <x v="115"/>
    <x v="38"/>
    <x v="13"/>
    <x v="32"/>
    <x v="3"/>
    <x v="19"/>
    <x v="4"/>
  </r>
  <r>
    <x v="6"/>
    <x v="17"/>
    <x v="17"/>
    <x v="172"/>
    <x v="151"/>
    <x v="23"/>
    <x v="46"/>
    <x v="104"/>
    <x v="39"/>
    <x v="14"/>
    <x v="36"/>
    <x v="2"/>
    <x v="19"/>
    <x v="4"/>
  </r>
  <r>
    <x v="7"/>
    <x v="31"/>
    <x v="12"/>
    <x v="181"/>
    <x v="0"/>
    <x v="21"/>
    <x v="44"/>
    <x v="85"/>
    <x v="0"/>
    <x v="0"/>
    <x v="39"/>
    <x v="35"/>
    <x v="35"/>
    <x v="4"/>
  </r>
  <r>
    <x v="8"/>
    <x v="17"/>
    <x v="17"/>
    <x v="183"/>
    <x v="126"/>
    <x v="21"/>
    <x v="44"/>
    <x v="95"/>
    <x v="40"/>
    <x v="15"/>
    <x v="3"/>
    <x v="20"/>
    <x v="19"/>
    <x v="4"/>
  </r>
  <r>
    <x v="9"/>
    <x v="34"/>
    <x v="36"/>
    <x v="171"/>
    <x v="134"/>
    <x v="21"/>
    <x v="44"/>
    <x v="79"/>
    <x v="41"/>
    <x v="29"/>
    <x v="34"/>
    <x v="17"/>
    <x v="39"/>
    <x v="4"/>
  </r>
  <r>
    <x v="10"/>
    <x v="2"/>
    <x v="44"/>
    <x v="102"/>
    <x v="141"/>
    <x v="21"/>
    <x v="44"/>
    <x v="108"/>
    <x v="3"/>
    <x v="30"/>
    <x v="41"/>
    <x v="57"/>
    <x v="2"/>
    <x v="4"/>
  </r>
  <r>
    <x v="11"/>
    <x v="2"/>
    <x v="44"/>
    <x v="176"/>
    <x v="155"/>
    <x v="22"/>
    <x v="44"/>
    <x v="118"/>
    <x v="4"/>
    <x v="31"/>
    <x v="16"/>
    <x v="4"/>
    <x v="2"/>
    <x v="4"/>
  </r>
  <r>
    <x v="12"/>
    <x v="17"/>
    <x v="17"/>
    <x v="184"/>
    <x v="160"/>
    <x v="23"/>
    <x v="44"/>
    <x v="126"/>
    <x v="5"/>
    <x v="16"/>
    <x v="6"/>
    <x v="30"/>
    <x v="19"/>
    <x v="4"/>
  </r>
  <r>
    <x v="13"/>
    <x v="25"/>
    <x v="29"/>
    <x v="112"/>
    <x v="124"/>
    <x v="20"/>
    <x v="43"/>
    <x v="59"/>
    <x v="6"/>
    <x v="17"/>
    <x v="29"/>
    <x v="29"/>
    <x v="29"/>
    <x v="4"/>
  </r>
  <r>
    <x v="14"/>
    <x v="34"/>
    <x v="36"/>
    <x v="99"/>
    <x v="127"/>
    <x v="20"/>
    <x v="43"/>
    <x v="54"/>
    <x v="7"/>
    <x v="32"/>
    <x v="22"/>
    <x v="22"/>
    <x v="39"/>
    <x v="4"/>
  </r>
  <r>
    <x v="15"/>
    <x v="18"/>
    <x v="37"/>
    <x v="112"/>
    <x v="130"/>
    <x v="20"/>
    <x v="43"/>
    <x v="58"/>
    <x v="8"/>
    <x v="4"/>
    <x v="29"/>
    <x v="19"/>
    <x v="21"/>
    <x v="4"/>
  </r>
  <r>
    <x v="16"/>
    <x v="4"/>
    <x v="1"/>
    <x v="112"/>
    <x v="132"/>
    <x v="20"/>
    <x v="43"/>
    <x v="56"/>
    <x v="9"/>
    <x v="8"/>
    <x v="29"/>
    <x v="27"/>
    <x v="4"/>
    <x v="4"/>
  </r>
  <r>
    <x v="17"/>
    <x v="5"/>
    <x v="28"/>
    <x v="99"/>
    <x v="138"/>
    <x v="20"/>
    <x v="43"/>
    <x v="56"/>
    <x v="10"/>
    <x v="6"/>
    <x v="7"/>
    <x v="24"/>
    <x v="5"/>
    <x v="4"/>
  </r>
  <r>
    <x v="18"/>
    <x v="13"/>
    <x v="40"/>
    <x v="99"/>
    <x v="139"/>
    <x v="20"/>
    <x v="43"/>
    <x v="63"/>
    <x v="42"/>
    <x v="58"/>
    <x v="19"/>
    <x v="44"/>
    <x v="13"/>
    <x v="4"/>
  </r>
  <r>
    <x v="19"/>
    <x v="28"/>
    <x v="13"/>
    <x v="1"/>
    <x v="140"/>
    <x v="20"/>
    <x v="43"/>
    <x v="51"/>
    <x v="11"/>
    <x v="33"/>
    <x v="36"/>
    <x v="46"/>
    <x v="32"/>
    <x v="4"/>
  </r>
  <r>
    <x v="20"/>
    <x v="2"/>
    <x v="44"/>
    <x v="103"/>
    <x v="142"/>
    <x v="20"/>
    <x v="43"/>
    <x v="106"/>
    <x v="12"/>
    <x v="34"/>
    <x v="41"/>
    <x v="58"/>
    <x v="2"/>
    <x v="4"/>
  </r>
  <r>
    <x v="21"/>
    <x v="4"/>
    <x v="1"/>
    <x v="167"/>
    <x v="135"/>
    <x v="19"/>
    <x v="42"/>
    <x v="52"/>
    <x v="14"/>
    <x v="9"/>
    <x v="26"/>
    <x v="52"/>
    <x v="4"/>
    <x v="4"/>
  </r>
  <r>
    <x v="22"/>
    <x v="6"/>
    <x v="0"/>
    <x v="167"/>
    <x v="142"/>
    <x v="19"/>
    <x v="42"/>
    <x v="47"/>
    <x v="15"/>
    <x v="35"/>
    <x v="27"/>
    <x v="18"/>
    <x v="6"/>
    <x v="4"/>
  </r>
  <r>
    <x v="23"/>
    <x v="4"/>
    <x v="1"/>
    <x v="170"/>
    <x v="118"/>
    <x v="18"/>
    <x v="41"/>
    <x v="36"/>
    <x v="16"/>
    <x v="10"/>
    <x v="22"/>
    <x v="25"/>
    <x v="4"/>
    <x v="4"/>
  </r>
  <r>
    <x v="24"/>
    <x v="34"/>
    <x v="36"/>
    <x v="18"/>
    <x v="120"/>
    <x v="18"/>
    <x v="41"/>
    <x v="42"/>
    <x v="17"/>
    <x v="22"/>
    <x v="6"/>
    <x v="34"/>
    <x v="39"/>
    <x v="4"/>
  </r>
  <r>
    <x v="25"/>
    <x v="15"/>
    <x v="33"/>
    <x v="168"/>
    <x v="128"/>
    <x v="18"/>
    <x v="41"/>
    <x v="40"/>
    <x v="53"/>
    <x v="67"/>
    <x v="33"/>
    <x v="0"/>
    <x v="17"/>
    <x v="4"/>
  </r>
  <r>
    <x v="26"/>
    <x v="8"/>
    <x v="30"/>
    <x v="168"/>
    <x v="128"/>
    <x v="18"/>
    <x v="41"/>
    <x v="46"/>
    <x v="56"/>
    <x v="54"/>
    <x v="33"/>
    <x v="23"/>
    <x v="8"/>
    <x v="4"/>
  </r>
  <r>
    <x v="27"/>
    <x v="0"/>
    <x v="25"/>
    <x v="169"/>
    <x v="129"/>
    <x v="17"/>
    <x v="40"/>
    <x v="32"/>
    <x v="18"/>
    <x v="43"/>
    <x v="3"/>
    <x v="45"/>
    <x v="0"/>
    <x v="4"/>
  </r>
  <r>
    <x v="28"/>
    <x v="6"/>
    <x v="0"/>
    <x v="166"/>
    <x v="137"/>
    <x v="17"/>
    <x v="40"/>
    <x v="46"/>
    <x v="19"/>
    <x v="23"/>
    <x v="22"/>
    <x v="7"/>
    <x v="6"/>
    <x v="4"/>
  </r>
  <r>
    <x v="29"/>
    <x v="37"/>
    <x v="10"/>
    <x v="169"/>
    <x v="145"/>
    <x v="17"/>
    <x v="40"/>
    <x v="34"/>
    <x v="20"/>
    <x v="36"/>
    <x v="0"/>
    <x v="41"/>
    <x v="42"/>
    <x v="4"/>
  </r>
  <r>
    <x v="30"/>
    <x v="24"/>
    <x v="5"/>
    <x v="111"/>
    <x v="121"/>
    <x v="16"/>
    <x v="39"/>
    <x v="28"/>
    <x v="21"/>
    <x v="18"/>
    <x v="4"/>
    <x v="39"/>
    <x v="28"/>
    <x v="4"/>
  </r>
  <r>
    <x v="31"/>
    <x v="8"/>
    <x v="30"/>
    <x v="162"/>
    <x v="143"/>
    <x v="16"/>
    <x v="39"/>
    <x v="51"/>
    <x v="57"/>
    <x v="55"/>
    <x v="28"/>
    <x v="43"/>
    <x v="8"/>
    <x v="4"/>
  </r>
  <r>
    <x v="32"/>
    <x v="28"/>
    <x v="13"/>
    <x v="174"/>
    <x v="157"/>
    <x v="17"/>
    <x v="39"/>
    <x v="25"/>
    <x v="22"/>
    <x v="24"/>
    <x v="37"/>
    <x v="42"/>
    <x v="32"/>
    <x v="4"/>
  </r>
  <r>
    <x v="32"/>
    <x v="10"/>
    <x v="13"/>
    <x v="175"/>
    <x v="159"/>
    <x v="17"/>
    <x v="39"/>
    <x v="25"/>
    <x v="23"/>
    <x v="25"/>
    <x v="38"/>
    <x v="43"/>
    <x v="10"/>
    <x v="4"/>
  </r>
  <r>
    <x v="33"/>
    <x v="15"/>
    <x v="33"/>
    <x v="163"/>
    <x v="136"/>
    <x v="15"/>
    <x v="38"/>
    <x v="36"/>
    <x v="58"/>
    <x v="68"/>
    <x v="21"/>
    <x v="37"/>
    <x v="17"/>
    <x v="4"/>
  </r>
  <r>
    <x v="34"/>
    <x v="33"/>
    <x v="19"/>
    <x v="178"/>
    <x v="143"/>
    <x v="15"/>
    <x v="38"/>
    <x v="24"/>
    <x v="59"/>
    <x v="69"/>
    <x v="23"/>
    <x v="31"/>
    <x v="37"/>
    <x v="4"/>
  </r>
  <r>
    <x v="35"/>
    <x v="27"/>
    <x v="38"/>
    <x v="17"/>
    <x v="148"/>
    <x v="14"/>
    <x v="37"/>
    <x v="11"/>
    <x v="23"/>
    <x v="44"/>
    <x v="19"/>
    <x v="11"/>
    <x v="31"/>
    <x v="4"/>
  </r>
  <r>
    <x v="36"/>
    <x v="22"/>
    <x v="7"/>
    <x v="98"/>
    <x v="166"/>
    <x v="18"/>
    <x v="37"/>
    <x v="75"/>
    <x v="25"/>
    <x v="11"/>
    <x v="41"/>
    <x v="59"/>
    <x v="25"/>
    <x v="4"/>
  </r>
  <r>
    <x v="37"/>
    <x v="11"/>
    <x v="43"/>
    <x v="177"/>
    <x v="147"/>
    <x v="13"/>
    <x v="36"/>
    <x v="20"/>
    <x v="26"/>
    <x v="42"/>
    <x v="12"/>
    <x v="9"/>
    <x v="11"/>
    <x v="4"/>
  </r>
  <r>
    <x v="38"/>
    <x v="26"/>
    <x v="6"/>
    <x v="4"/>
    <x v="117"/>
    <x v="12"/>
    <x v="35"/>
    <x v="10"/>
    <x v="60"/>
    <x v="59"/>
    <x v="39"/>
    <x v="6"/>
    <x v="30"/>
    <x v="4"/>
  </r>
  <r>
    <x v="39"/>
    <x v="38"/>
    <x v="34"/>
    <x v="179"/>
    <x v="119"/>
    <x v="11"/>
    <x v="34"/>
    <x v="6"/>
    <x v="27"/>
    <x v="45"/>
    <x v="20"/>
    <x v="26"/>
    <x v="44"/>
    <x v="4"/>
  </r>
  <r>
    <x v="40"/>
    <x v="7"/>
    <x v="35"/>
    <x v="179"/>
    <x v="125"/>
    <x v="11"/>
    <x v="34"/>
    <x v="4"/>
    <x v="28"/>
    <x v="37"/>
    <x v="20"/>
    <x v="47"/>
    <x v="7"/>
    <x v="4"/>
  </r>
  <r>
    <x v="41"/>
    <x v="15"/>
    <x v="8"/>
    <x v="179"/>
    <x v="133"/>
    <x v="11"/>
    <x v="34"/>
    <x v="7"/>
    <x v="61"/>
    <x v="80"/>
    <x v="12"/>
    <x v="5"/>
    <x v="15"/>
    <x v="4"/>
  </r>
  <r>
    <x v="42"/>
    <x v="30"/>
    <x v="2"/>
    <x v="113"/>
    <x v="116"/>
    <x v="10"/>
    <x v="33"/>
    <x v="3"/>
    <x v="29"/>
    <x v="51"/>
    <x v="18"/>
    <x v="32"/>
    <x v="34"/>
    <x v="4"/>
  </r>
  <r>
    <x v="43"/>
    <x v="6"/>
    <x v="0"/>
    <x v="3"/>
    <x v="158"/>
    <x v="12"/>
    <x v="33"/>
    <x v="24"/>
    <x v="30"/>
    <x v="25"/>
    <x v="11"/>
    <x v="33"/>
    <x v="6"/>
    <x v="4"/>
  </r>
  <r>
    <x v="44"/>
    <x v="20"/>
    <x v="22"/>
    <x v="2"/>
    <x v="174"/>
    <x v="18"/>
    <x v="33"/>
    <x v="65"/>
    <x v="62"/>
    <x v="64"/>
    <x v="22"/>
    <x v="1"/>
    <x v="23"/>
    <x v="4"/>
  </r>
  <r>
    <x v="45"/>
    <x v="42"/>
    <x v="44"/>
    <x v="19"/>
    <x v="254"/>
    <x v="23"/>
    <x v="28"/>
    <x v="133"/>
    <x v="43"/>
    <x v="70"/>
    <x v="35"/>
    <x v="53"/>
    <x v="48"/>
    <x v="4"/>
  </r>
  <r>
    <x v="46"/>
    <x v="25"/>
    <x v="29"/>
    <x v="112"/>
    <x v="248"/>
    <x v="20"/>
    <x v="26"/>
    <x v="77"/>
    <x v="31"/>
    <x v="19"/>
    <x v="9"/>
    <x v="51"/>
    <x v="29"/>
    <x v="4"/>
  </r>
  <r>
    <x v="47"/>
    <x v="13"/>
    <x v="40"/>
    <x v="112"/>
    <x v="249"/>
    <x v="20"/>
    <x v="25"/>
    <x v="84"/>
    <x v="44"/>
    <x v="60"/>
    <x v="9"/>
    <x v="10"/>
    <x v="13"/>
    <x v="4"/>
  </r>
  <r>
    <x v="48"/>
    <x v="16"/>
    <x v="26"/>
    <x v="112"/>
    <x v="250"/>
    <x v="20"/>
    <x v="25"/>
    <x v="70"/>
    <x v="32"/>
    <x v="26"/>
    <x v="9"/>
    <x v="40"/>
    <x v="18"/>
    <x v="4"/>
  </r>
  <r>
    <x v="49"/>
    <x v="3"/>
    <x v="39"/>
    <x v="112"/>
    <x v="251"/>
    <x v="20"/>
    <x v="25"/>
    <x v="71"/>
    <x v="33"/>
    <x v="5"/>
    <x v="9"/>
    <x v="56"/>
    <x v="3"/>
    <x v="4"/>
  </r>
  <r>
    <x v="50"/>
    <x v="29"/>
    <x v="41"/>
    <x v="112"/>
    <x v="252"/>
    <x v="20"/>
    <x v="25"/>
    <x v="72"/>
    <x v="45"/>
    <x v="53"/>
    <x v="9"/>
    <x v="28"/>
    <x v="33"/>
    <x v="4"/>
  </r>
  <r>
    <x v="51"/>
    <x v="42"/>
    <x v="44"/>
    <x v="112"/>
    <x v="255"/>
    <x v="20"/>
    <x v="25"/>
    <x v="53"/>
    <x v="46"/>
    <x v="71"/>
    <x v="9"/>
    <x v="36"/>
    <x v="48"/>
    <x v="4"/>
  </r>
  <r>
    <x v="52"/>
    <x v="35"/>
    <x v="14"/>
    <x v="112"/>
    <x v="257"/>
    <x v="20"/>
    <x v="25"/>
    <x v="57"/>
    <x v="47"/>
    <x v="63"/>
    <x v="9"/>
    <x v="55"/>
    <x v="40"/>
    <x v="4"/>
  </r>
  <r>
    <x v="53"/>
    <x v="15"/>
    <x v="33"/>
    <x v="164"/>
    <x v="2"/>
    <x v="17"/>
    <x v="21"/>
    <x v="48"/>
    <x v="48"/>
    <x v="72"/>
    <x v="5"/>
    <x v="16"/>
    <x v="17"/>
    <x v="4"/>
  </r>
  <r>
    <x v="54"/>
    <x v="8"/>
    <x v="30"/>
    <x v="164"/>
    <x v="3"/>
    <x v="17"/>
    <x v="21"/>
    <x v="40"/>
    <x v="50"/>
    <x v="56"/>
    <x v="6"/>
    <x v="12"/>
    <x v="8"/>
    <x v="4"/>
  </r>
  <r>
    <x v="55"/>
    <x v="32"/>
    <x v="42"/>
    <x v="164"/>
    <x v="3"/>
    <x v="17"/>
    <x v="21"/>
    <x v="50"/>
    <x v="49"/>
    <x v="65"/>
    <x v="5"/>
    <x v="38"/>
    <x v="36"/>
    <x v="4"/>
  </r>
  <r>
    <x v="56"/>
    <x v="36"/>
    <x v="3"/>
    <x v="164"/>
    <x v="4"/>
    <x v="17"/>
    <x v="21"/>
    <x v="48"/>
    <x v="34"/>
    <x v="7"/>
    <x v="5"/>
    <x v="14"/>
    <x v="41"/>
    <x v="4"/>
  </r>
  <r>
    <x v="57"/>
    <x v="14"/>
    <x v="23"/>
    <x v="164"/>
    <x v="6"/>
    <x v="17"/>
    <x v="21"/>
    <x v="49"/>
    <x v="51"/>
    <x v="61"/>
    <x v="5"/>
    <x v="50"/>
    <x v="14"/>
    <x v="4"/>
  </r>
  <r>
    <x v="58"/>
    <x v="26"/>
    <x v="6"/>
    <x v="178"/>
    <x v="4"/>
    <x v="15"/>
    <x v="19"/>
    <x v="31"/>
    <x v="52"/>
    <x v="62"/>
    <x v="5"/>
    <x v="49"/>
    <x v="30"/>
    <x v="4"/>
  </r>
  <r>
    <x v="59"/>
    <x v="15"/>
    <x v="33"/>
    <x v="165"/>
    <x v="24"/>
    <x v="18"/>
    <x v="19"/>
    <x v="105"/>
    <x v="54"/>
    <x v="73"/>
    <x v="29"/>
    <x v="13"/>
    <x v="17"/>
    <x v="4"/>
  </r>
  <r>
    <x v="60"/>
    <x v="8"/>
    <x v="30"/>
    <x v="165"/>
    <x v="25"/>
    <x v="18"/>
    <x v="19"/>
    <x v="139"/>
    <x v="55"/>
    <x v="57"/>
    <x v="29"/>
    <x v="8"/>
    <x v="8"/>
    <x v="4"/>
  </r>
  <r>
    <x v="61"/>
    <x v="34"/>
    <x v="36"/>
    <x v="4"/>
    <x v="264"/>
    <x v="12"/>
    <x v="18"/>
    <x v="9"/>
    <x v="36"/>
    <x v="27"/>
    <x v="2"/>
    <x v="21"/>
    <x v="39"/>
    <x v="4"/>
  </r>
  <r>
    <x v="0"/>
    <x v="41"/>
    <x v="13"/>
    <x v="117"/>
    <x v="179"/>
    <x v="23"/>
    <x v="46"/>
    <x v="198"/>
    <x v="2"/>
    <x v="2"/>
    <x v="1"/>
    <x v="49"/>
    <x v="47"/>
    <x v="3"/>
  </r>
  <r>
    <x v="1"/>
    <x v="31"/>
    <x v="12"/>
    <x v="117"/>
    <x v="203"/>
    <x v="23"/>
    <x v="46"/>
    <x v="187"/>
    <x v="0"/>
    <x v="0"/>
    <x v="23"/>
    <x v="5"/>
    <x v="35"/>
    <x v="3"/>
  </r>
  <r>
    <x v="2"/>
    <x v="2"/>
    <x v="44"/>
    <x v="55"/>
    <x v="204"/>
    <x v="23"/>
    <x v="46"/>
    <x v="189"/>
    <x v="13"/>
    <x v="21"/>
    <x v="37"/>
    <x v="33"/>
    <x v="2"/>
    <x v="3"/>
  </r>
  <r>
    <x v="3"/>
    <x v="17"/>
    <x v="17"/>
    <x v="117"/>
    <x v="209"/>
    <x v="23"/>
    <x v="46"/>
    <x v="186"/>
    <x v="24"/>
    <x v="12"/>
    <x v="14"/>
    <x v="6"/>
    <x v="19"/>
    <x v="3"/>
  </r>
  <r>
    <x v="4"/>
    <x v="34"/>
    <x v="36"/>
    <x v="120"/>
    <x v="219"/>
    <x v="23"/>
    <x v="46"/>
    <x v="195"/>
    <x v="35"/>
    <x v="28"/>
    <x v="37"/>
    <x v="41"/>
    <x v="39"/>
    <x v="3"/>
  </r>
  <r>
    <x v="5"/>
    <x v="12"/>
    <x v="13"/>
    <x v="117"/>
    <x v="222"/>
    <x v="23"/>
    <x v="46"/>
    <x v="187"/>
    <x v="37"/>
    <x v="3"/>
    <x v="7"/>
    <x v="21"/>
    <x v="12"/>
    <x v="3"/>
  </r>
  <r>
    <x v="6"/>
    <x v="17"/>
    <x v="17"/>
    <x v="117"/>
    <x v="231"/>
    <x v="23"/>
    <x v="46"/>
    <x v="188"/>
    <x v="38"/>
    <x v="13"/>
    <x v="7"/>
    <x v="26"/>
    <x v="19"/>
    <x v="3"/>
  </r>
  <r>
    <x v="7"/>
    <x v="13"/>
    <x v="40"/>
    <x v="117"/>
    <x v="266"/>
    <x v="23"/>
    <x v="46"/>
    <x v="206"/>
    <x v="42"/>
    <x v="58"/>
    <x v="30"/>
    <x v="11"/>
    <x v="13"/>
    <x v="3"/>
  </r>
  <r>
    <x v="8"/>
    <x v="4"/>
    <x v="1"/>
    <x v="117"/>
    <x v="278"/>
    <x v="23"/>
    <x v="46"/>
    <x v="193"/>
    <x v="39"/>
    <x v="8"/>
    <x v="40"/>
    <x v="13"/>
    <x v="4"/>
    <x v="3"/>
  </r>
  <r>
    <x v="9"/>
    <x v="6"/>
    <x v="0"/>
    <x v="116"/>
    <x v="276"/>
    <x v="22"/>
    <x v="45"/>
    <x v="179"/>
    <x v="40"/>
    <x v="29"/>
    <x v="24"/>
    <x v="44"/>
    <x v="6"/>
    <x v="3"/>
  </r>
  <r>
    <x v="10"/>
    <x v="31"/>
    <x v="12"/>
    <x v="117"/>
    <x v="9"/>
    <x v="23"/>
    <x v="45"/>
    <x v="191"/>
    <x v="1"/>
    <x v="1"/>
    <x v="2"/>
    <x v="48"/>
    <x v="35"/>
    <x v="3"/>
  </r>
  <r>
    <x v="11"/>
    <x v="25"/>
    <x v="29"/>
    <x v="118"/>
    <x v="236"/>
    <x v="21"/>
    <x v="44"/>
    <x v="202"/>
    <x v="41"/>
    <x v="17"/>
    <x v="36"/>
    <x v="47"/>
    <x v="29"/>
    <x v="3"/>
  </r>
  <r>
    <x v="12"/>
    <x v="37"/>
    <x v="10"/>
    <x v="118"/>
    <x v="267"/>
    <x v="21"/>
    <x v="44"/>
    <x v="169"/>
    <x v="3"/>
    <x v="36"/>
    <x v="29"/>
    <x v="1"/>
    <x v="42"/>
    <x v="3"/>
  </r>
  <r>
    <x v="13"/>
    <x v="15"/>
    <x v="33"/>
    <x v="118"/>
    <x v="272"/>
    <x v="21"/>
    <x v="44"/>
    <x v="174"/>
    <x v="53"/>
    <x v="67"/>
    <x v="37"/>
    <x v="29"/>
    <x v="17"/>
    <x v="3"/>
  </r>
  <r>
    <x v="14"/>
    <x v="8"/>
    <x v="30"/>
    <x v="118"/>
    <x v="273"/>
    <x v="21"/>
    <x v="44"/>
    <x v="178"/>
    <x v="56"/>
    <x v="54"/>
    <x v="37"/>
    <x v="27"/>
    <x v="8"/>
    <x v="3"/>
  </r>
  <r>
    <x v="15"/>
    <x v="28"/>
    <x v="13"/>
    <x v="119"/>
    <x v="1"/>
    <x v="21"/>
    <x v="43"/>
    <x v="174"/>
    <x v="4"/>
    <x v="30"/>
    <x v="39"/>
    <x v="14"/>
    <x v="32"/>
    <x v="3"/>
  </r>
  <r>
    <x v="16"/>
    <x v="0"/>
    <x v="25"/>
    <x v="123"/>
    <x v="199"/>
    <x v="19"/>
    <x v="42"/>
    <x v="117"/>
    <x v="5"/>
    <x v="43"/>
    <x v="21"/>
    <x v="2"/>
    <x v="0"/>
    <x v="3"/>
  </r>
  <r>
    <x v="17"/>
    <x v="6"/>
    <x v="0"/>
    <x v="123"/>
    <x v="212"/>
    <x v="19"/>
    <x v="42"/>
    <x v="125"/>
    <x v="6"/>
    <x v="31"/>
    <x v="19"/>
    <x v="24"/>
    <x v="6"/>
    <x v="3"/>
  </r>
  <r>
    <x v="18"/>
    <x v="28"/>
    <x v="13"/>
    <x v="123"/>
    <x v="218"/>
    <x v="19"/>
    <x v="42"/>
    <x v="121"/>
    <x v="7"/>
    <x v="32"/>
    <x v="1"/>
    <x v="8"/>
    <x v="32"/>
    <x v="3"/>
  </r>
  <r>
    <x v="19"/>
    <x v="4"/>
    <x v="1"/>
    <x v="123"/>
    <x v="221"/>
    <x v="19"/>
    <x v="42"/>
    <x v="137"/>
    <x v="8"/>
    <x v="9"/>
    <x v="31"/>
    <x v="22"/>
    <x v="4"/>
    <x v="3"/>
  </r>
  <r>
    <x v="20"/>
    <x v="24"/>
    <x v="5"/>
    <x v="51"/>
    <x v="229"/>
    <x v="19"/>
    <x v="42"/>
    <x v="166"/>
    <x v="9"/>
    <x v="18"/>
    <x v="32"/>
    <x v="52"/>
    <x v="28"/>
    <x v="3"/>
  </r>
  <r>
    <x v="21"/>
    <x v="37"/>
    <x v="10"/>
    <x v="123"/>
    <x v="271"/>
    <x v="19"/>
    <x v="42"/>
    <x v="147"/>
    <x v="10"/>
    <x v="37"/>
    <x v="9"/>
    <x v="46"/>
    <x v="42"/>
    <x v="3"/>
  </r>
  <r>
    <x v="22"/>
    <x v="2"/>
    <x v="44"/>
    <x v="60"/>
    <x v="205"/>
    <x v="18"/>
    <x v="41"/>
    <x v="194"/>
    <x v="11"/>
    <x v="33"/>
    <x v="37"/>
    <x v="30"/>
    <x v="2"/>
    <x v="3"/>
  </r>
  <r>
    <x v="23"/>
    <x v="0"/>
    <x v="25"/>
    <x v="122"/>
    <x v="275"/>
    <x v="18"/>
    <x v="41"/>
    <x v="113"/>
    <x v="12"/>
    <x v="44"/>
    <x v="13"/>
    <x v="18"/>
    <x v="0"/>
    <x v="3"/>
  </r>
  <r>
    <x v="24"/>
    <x v="28"/>
    <x v="13"/>
    <x v="125"/>
    <x v="241"/>
    <x v="17"/>
    <x v="40"/>
    <x v="100"/>
    <x v="14"/>
    <x v="34"/>
    <x v="7"/>
    <x v="19"/>
    <x v="32"/>
    <x v="3"/>
  </r>
  <r>
    <x v="24"/>
    <x v="10"/>
    <x v="13"/>
    <x v="125"/>
    <x v="241"/>
    <x v="17"/>
    <x v="40"/>
    <x v="100"/>
    <x v="14"/>
    <x v="34"/>
    <x v="7"/>
    <x v="19"/>
    <x v="10"/>
    <x v="3"/>
  </r>
  <r>
    <x v="25"/>
    <x v="2"/>
    <x v="44"/>
    <x v="54"/>
    <x v="10"/>
    <x v="19"/>
    <x v="40"/>
    <x v="220"/>
    <x v="15"/>
    <x v="35"/>
    <x v="26"/>
    <x v="15"/>
    <x v="2"/>
    <x v="3"/>
  </r>
  <r>
    <x v="26"/>
    <x v="34"/>
    <x v="36"/>
    <x v="124"/>
    <x v="237"/>
    <x v="16"/>
    <x v="39"/>
    <x v="132"/>
    <x v="16"/>
    <x v="22"/>
    <x v="30"/>
    <x v="37"/>
    <x v="39"/>
    <x v="3"/>
  </r>
  <r>
    <x v="27"/>
    <x v="27"/>
    <x v="38"/>
    <x v="52"/>
    <x v="239"/>
    <x v="16"/>
    <x v="39"/>
    <x v="92"/>
    <x v="17"/>
    <x v="45"/>
    <x v="40"/>
    <x v="31"/>
    <x v="31"/>
    <x v="3"/>
  </r>
  <r>
    <x v="28"/>
    <x v="0"/>
    <x v="25"/>
    <x v="58"/>
    <x v="260"/>
    <x v="16"/>
    <x v="39"/>
    <x v="149"/>
    <x v="18"/>
    <x v="46"/>
    <x v="8"/>
    <x v="25"/>
    <x v="0"/>
    <x v="3"/>
  </r>
  <r>
    <x v="29"/>
    <x v="33"/>
    <x v="19"/>
    <x v="50"/>
    <x v="162"/>
    <x v="14"/>
    <x v="37"/>
    <x v="37"/>
    <x v="57"/>
    <x v="68"/>
    <x v="37"/>
    <x v="38"/>
    <x v="37"/>
    <x v="3"/>
  </r>
  <r>
    <x v="30"/>
    <x v="11"/>
    <x v="43"/>
    <x v="50"/>
    <x v="178"/>
    <x v="14"/>
    <x v="37"/>
    <x v="43"/>
    <x v="19"/>
    <x v="42"/>
    <x v="15"/>
    <x v="42"/>
    <x v="11"/>
    <x v="3"/>
  </r>
  <r>
    <x v="31"/>
    <x v="26"/>
    <x v="6"/>
    <x v="50"/>
    <x v="191"/>
    <x v="14"/>
    <x v="37"/>
    <x v="55"/>
    <x v="58"/>
    <x v="59"/>
    <x v="32"/>
    <x v="34"/>
    <x v="30"/>
    <x v="3"/>
  </r>
  <r>
    <x v="32"/>
    <x v="38"/>
    <x v="34"/>
    <x v="50"/>
    <x v="211"/>
    <x v="14"/>
    <x v="37"/>
    <x v="59"/>
    <x v="20"/>
    <x v="47"/>
    <x v="32"/>
    <x v="12"/>
    <x v="44"/>
    <x v="3"/>
  </r>
  <r>
    <x v="33"/>
    <x v="7"/>
    <x v="35"/>
    <x v="50"/>
    <x v="213"/>
    <x v="14"/>
    <x v="37"/>
    <x v="71"/>
    <x v="21"/>
    <x v="38"/>
    <x v="32"/>
    <x v="36"/>
    <x v="7"/>
    <x v="3"/>
  </r>
  <r>
    <x v="34"/>
    <x v="30"/>
    <x v="2"/>
    <x v="50"/>
    <x v="244"/>
    <x v="14"/>
    <x v="37"/>
    <x v="45"/>
    <x v="22"/>
    <x v="51"/>
    <x v="40"/>
    <x v="9"/>
    <x v="34"/>
    <x v="3"/>
  </r>
  <r>
    <x v="35"/>
    <x v="37"/>
    <x v="10"/>
    <x v="57"/>
    <x v="247"/>
    <x v="14"/>
    <x v="37"/>
    <x v="136"/>
    <x v="23"/>
    <x v="39"/>
    <x v="8"/>
    <x v="16"/>
    <x v="42"/>
    <x v="3"/>
  </r>
  <r>
    <x v="36"/>
    <x v="27"/>
    <x v="38"/>
    <x v="115"/>
    <x v="240"/>
    <x v="13"/>
    <x v="36"/>
    <x v="26"/>
    <x v="25"/>
    <x v="48"/>
    <x v="33"/>
    <x v="51"/>
    <x v="31"/>
    <x v="3"/>
  </r>
  <r>
    <x v="37"/>
    <x v="0"/>
    <x v="25"/>
    <x v="114"/>
    <x v="5"/>
    <x v="14"/>
    <x v="36"/>
    <x v="88"/>
    <x v="26"/>
    <x v="49"/>
    <x v="17"/>
    <x v="28"/>
    <x v="0"/>
    <x v="3"/>
  </r>
  <r>
    <x v="38"/>
    <x v="15"/>
    <x v="33"/>
    <x v="53"/>
    <x v="224"/>
    <x v="12"/>
    <x v="35"/>
    <x v="103"/>
    <x v="59"/>
    <x v="69"/>
    <x v="26"/>
    <x v="32"/>
    <x v="17"/>
    <x v="3"/>
  </r>
  <r>
    <x v="39"/>
    <x v="8"/>
    <x v="30"/>
    <x v="53"/>
    <x v="225"/>
    <x v="12"/>
    <x v="35"/>
    <x v="155"/>
    <x v="60"/>
    <x v="55"/>
    <x v="26"/>
    <x v="40"/>
    <x v="8"/>
    <x v="3"/>
  </r>
  <r>
    <x v="40"/>
    <x v="33"/>
    <x v="19"/>
    <x v="53"/>
    <x v="228"/>
    <x v="12"/>
    <x v="35"/>
    <x v="97"/>
    <x v="61"/>
    <x v="70"/>
    <x v="26"/>
    <x v="43"/>
    <x v="37"/>
    <x v="3"/>
  </r>
  <r>
    <x v="41"/>
    <x v="13"/>
    <x v="40"/>
    <x v="117"/>
    <x v="41"/>
    <x v="23"/>
    <x v="35"/>
    <x v="216"/>
    <x v="62"/>
    <x v="60"/>
    <x v="25"/>
    <x v="3"/>
    <x v="13"/>
    <x v="3"/>
  </r>
  <r>
    <x v="42"/>
    <x v="22"/>
    <x v="7"/>
    <x v="117"/>
    <x v="42"/>
    <x v="23"/>
    <x v="35"/>
    <x v="208"/>
    <x v="27"/>
    <x v="10"/>
    <x v="25"/>
    <x v="4"/>
    <x v="25"/>
    <x v="3"/>
  </r>
  <r>
    <x v="43"/>
    <x v="25"/>
    <x v="29"/>
    <x v="117"/>
    <x v="43"/>
    <x v="23"/>
    <x v="35"/>
    <x v="212"/>
    <x v="28"/>
    <x v="19"/>
    <x v="25"/>
    <x v="17"/>
    <x v="29"/>
    <x v="3"/>
  </r>
  <r>
    <x v="44"/>
    <x v="38"/>
    <x v="34"/>
    <x v="49"/>
    <x v="216"/>
    <x v="10"/>
    <x v="33"/>
    <x v="41"/>
    <x v="29"/>
    <x v="50"/>
    <x v="29"/>
    <x v="0"/>
    <x v="44"/>
    <x v="3"/>
  </r>
  <r>
    <x v="45"/>
    <x v="7"/>
    <x v="35"/>
    <x v="49"/>
    <x v="217"/>
    <x v="10"/>
    <x v="33"/>
    <x v="23"/>
    <x v="30"/>
    <x v="40"/>
    <x v="29"/>
    <x v="50"/>
    <x v="7"/>
    <x v="3"/>
  </r>
  <r>
    <x v="46"/>
    <x v="30"/>
    <x v="2"/>
    <x v="52"/>
    <x v="50"/>
    <x v="16"/>
    <x v="26"/>
    <x v="120"/>
    <x v="31"/>
    <x v="52"/>
    <x v="39"/>
    <x v="23"/>
    <x v="34"/>
    <x v="3"/>
  </r>
  <r>
    <x v="47"/>
    <x v="2"/>
    <x v="44"/>
    <x v="55"/>
    <x v="91"/>
    <x v="23"/>
    <x v="18"/>
    <x v="210"/>
    <x v="32"/>
    <x v="23"/>
    <x v="36"/>
    <x v="7"/>
    <x v="2"/>
    <x v="3"/>
  </r>
  <r>
    <x v="48"/>
    <x v="8"/>
    <x v="30"/>
    <x v="121"/>
    <x v="88"/>
    <x v="17"/>
    <x v="17"/>
    <x v="173"/>
    <x v="43"/>
    <x v="56"/>
    <x v="32"/>
    <x v="35"/>
    <x v="8"/>
    <x v="3"/>
  </r>
  <r>
    <x v="49"/>
    <x v="15"/>
    <x v="33"/>
    <x v="121"/>
    <x v="89"/>
    <x v="17"/>
    <x v="16"/>
    <x v="161"/>
    <x v="44"/>
    <x v="71"/>
    <x v="32"/>
    <x v="39"/>
    <x v="17"/>
    <x v="3"/>
  </r>
  <r>
    <x v="50"/>
    <x v="24"/>
    <x v="5"/>
    <x v="159"/>
    <x v="99"/>
    <x v="19"/>
    <x v="10"/>
    <x v="171"/>
    <x v="33"/>
    <x v="20"/>
    <x v="26"/>
    <x v="45"/>
    <x v="28"/>
    <x v="3"/>
  </r>
  <r>
    <x v="51"/>
    <x v="26"/>
    <x v="6"/>
    <x v="159"/>
    <x v="100"/>
    <x v="19"/>
    <x v="10"/>
    <x v="163"/>
    <x v="45"/>
    <x v="61"/>
    <x v="26"/>
    <x v="10"/>
    <x v="30"/>
    <x v="3"/>
  </r>
  <r>
    <x v="52"/>
    <x v="20"/>
    <x v="22"/>
    <x v="45"/>
    <x v="102"/>
    <x v="16"/>
    <x v="6"/>
    <x v="158"/>
    <x v="46"/>
    <x v="64"/>
    <x v="12"/>
    <x v="20"/>
    <x v="23"/>
    <x v="3"/>
  </r>
  <r>
    <x v="0"/>
    <x v="17"/>
    <x v="17"/>
    <x v="94"/>
    <x v="84"/>
    <x v="18"/>
    <x v="40"/>
    <x v="199"/>
    <x v="2"/>
    <x v="12"/>
    <x v="100"/>
    <x v="17"/>
    <x v="19"/>
    <x v="1"/>
  </r>
  <r>
    <x v="1"/>
    <x v="4"/>
    <x v="1"/>
    <x v="14"/>
    <x v="0"/>
    <x v="15"/>
    <x v="38"/>
    <x v="211"/>
    <x v="13"/>
    <x v="8"/>
    <x v="110"/>
    <x v="10"/>
    <x v="4"/>
    <x v="1"/>
  </r>
  <r>
    <x v="2"/>
    <x v="4"/>
    <x v="1"/>
    <x v="13"/>
    <x v="76"/>
    <x v="14"/>
    <x v="37"/>
    <x v="227"/>
    <x v="24"/>
    <x v="9"/>
    <x v="110"/>
    <x v="9"/>
    <x v="4"/>
    <x v="1"/>
  </r>
  <r>
    <x v="3"/>
    <x v="37"/>
    <x v="10"/>
    <x v="95"/>
    <x v="78"/>
    <x v="14"/>
    <x v="37"/>
    <x v="145"/>
    <x v="35"/>
    <x v="36"/>
    <x v="79"/>
    <x v="18"/>
    <x v="42"/>
    <x v="1"/>
  </r>
  <r>
    <x v="4"/>
    <x v="13"/>
    <x v="40"/>
    <x v="96"/>
    <x v="75"/>
    <x v="13"/>
    <x v="36"/>
    <x v="195"/>
    <x v="42"/>
    <x v="58"/>
    <x v="103"/>
    <x v="21"/>
    <x v="13"/>
    <x v="1"/>
  </r>
  <r>
    <x v="5"/>
    <x v="34"/>
    <x v="36"/>
    <x v="16"/>
    <x v="47"/>
    <x v="12"/>
    <x v="35"/>
    <x v="170"/>
    <x v="37"/>
    <x v="21"/>
    <x v="111"/>
    <x v="20"/>
    <x v="39"/>
    <x v="1"/>
  </r>
  <r>
    <x v="6"/>
    <x v="0"/>
    <x v="25"/>
    <x v="143"/>
    <x v="68"/>
    <x v="12"/>
    <x v="35"/>
    <x v="130"/>
    <x v="38"/>
    <x v="43"/>
    <x v="108"/>
    <x v="8"/>
    <x v="0"/>
    <x v="1"/>
  </r>
  <r>
    <x v="7"/>
    <x v="15"/>
    <x v="33"/>
    <x v="92"/>
    <x v="73"/>
    <x v="12"/>
    <x v="35"/>
    <x v="142"/>
    <x v="53"/>
    <x v="67"/>
    <x v="107"/>
    <x v="11"/>
    <x v="17"/>
    <x v="1"/>
  </r>
  <r>
    <x v="8"/>
    <x v="8"/>
    <x v="30"/>
    <x v="92"/>
    <x v="74"/>
    <x v="12"/>
    <x v="35"/>
    <x v="184"/>
    <x v="56"/>
    <x v="54"/>
    <x v="107"/>
    <x v="13"/>
    <x v="8"/>
    <x v="1"/>
  </r>
  <r>
    <x v="9"/>
    <x v="27"/>
    <x v="38"/>
    <x v="11"/>
    <x v="37"/>
    <x v="10"/>
    <x v="33"/>
    <x v="88"/>
    <x v="39"/>
    <x v="44"/>
    <x v="112"/>
    <x v="15"/>
    <x v="31"/>
    <x v="1"/>
  </r>
  <r>
    <x v="10"/>
    <x v="0"/>
    <x v="25"/>
    <x v="91"/>
    <x v="39"/>
    <x v="10"/>
    <x v="33"/>
    <x v="101"/>
    <x v="40"/>
    <x v="45"/>
    <x v="102"/>
    <x v="16"/>
    <x v="0"/>
    <x v="1"/>
  </r>
  <r>
    <x v="11"/>
    <x v="27"/>
    <x v="38"/>
    <x v="10"/>
    <x v="256"/>
    <x v="8"/>
    <x v="31"/>
    <x v="27"/>
    <x v="41"/>
    <x v="46"/>
    <x v="109"/>
    <x v="7"/>
    <x v="31"/>
    <x v="1"/>
  </r>
  <r>
    <x v="12"/>
    <x v="22"/>
    <x v="32"/>
    <x v="93"/>
    <x v="64"/>
    <x v="8"/>
    <x v="31"/>
    <x v="151"/>
    <x v="3"/>
    <x v="37"/>
    <x v="79"/>
    <x v="4"/>
    <x v="26"/>
    <x v="1"/>
  </r>
  <r>
    <x v="13"/>
    <x v="41"/>
    <x v="13"/>
    <x v="15"/>
    <x v="86"/>
    <x v="11"/>
    <x v="31"/>
    <x v="183"/>
    <x v="4"/>
    <x v="2"/>
    <x v="105"/>
    <x v="3"/>
    <x v="47"/>
    <x v="1"/>
  </r>
  <r>
    <x v="14"/>
    <x v="4"/>
    <x v="1"/>
    <x v="12"/>
    <x v="90"/>
    <x v="12"/>
    <x v="29"/>
    <x v="205"/>
    <x v="5"/>
    <x v="10"/>
    <x v="104"/>
    <x v="19"/>
    <x v="4"/>
    <x v="1"/>
  </r>
  <r>
    <x v="15"/>
    <x v="38"/>
    <x v="34"/>
    <x v="141"/>
    <x v="15"/>
    <x v="4"/>
    <x v="27"/>
    <x v="90"/>
    <x v="6"/>
    <x v="47"/>
    <x v="84"/>
    <x v="14"/>
    <x v="44"/>
    <x v="1"/>
  </r>
  <r>
    <x v="16"/>
    <x v="7"/>
    <x v="35"/>
    <x v="141"/>
    <x v="16"/>
    <x v="4"/>
    <x v="27"/>
    <x v="78"/>
    <x v="7"/>
    <x v="38"/>
    <x v="84"/>
    <x v="12"/>
    <x v="7"/>
    <x v="1"/>
  </r>
  <r>
    <x v="17"/>
    <x v="13"/>
    <x v="40"/>
    <x v="97"/>
    <x v="175"/>
    <x v="1"/>
    <x v="24"/>
    <x v="1"/>
    <x v="57"/>
    <x v="59"/>
    <x v="103"/>
    <x v="0"/>
    <x v="13"/>
    <x v="1"/>
  </r>
  <r>
    <x v="18"/>
    <x v="8"/>
    <x v="30"/>
    <x v="9"/>
    <x v="80"/>
    <x v="1"/>
    <x v="24"/>
    <x v="38"/>
    <x v="58"/>
    <x v="55"/>
    <x v="98"/>
    <x v="2"/>
    <x v="8"/>
    <x v="1"/>
  </r>
  <r>
    <x v="19"/>
    <x v="4"/>
    <x v="1"/>
    <x v="91"/>
    <x v="103"/>
    <x v="10"/>
    <x v="9"/>
    <x v="233"/>
    <x v="8"/>
    <x v="11"/>
    <x v="96"/>
    <x v="1"/>
    <x v="4"/>
    <x v="1"/>
  </r>
  <r>
    <x v="20"/>
    <x v="15"/>
    <x v="33"/>
    <x v="90"/>
    <x v="104"/>
    <x v="9"/>
    <x v="8"/>
    <x v="167"/>
    <x v="59"/>
    <x v="68"/>
    <x v="89"/>
    <x v="22"/>
    <x v="17"/>
    <x v="1"/>
  </r>
  <r>
    <x v="21"/>
    <x v="8"/>
    <x v="30"/>
    <x v="90"/>
    <x v="105"/>
    <x v="9"/>
    <x v="8"/>
    <x v="231"/>
    <x v="60"/>
    <x v="56"/>
    <x v="89"/>
    <x v="6"/>
    <x v="8"/>
    <x v="1"/>
  </r>
  <r>
    <x v="22"/>
    <x v="13"/>
    <x v="40"/>
    <x v="89"/>
    <x v="106"/>
    <x v="8"/>
    <x v="7"/>
    <x v="144"/>
    <x v="61"/>
    <x v="60"/>
    <x v="89"/>
    <x v="5"/>
    <x v="13"/>
    <x v="1"/>
  </r>
  <r>
    <x v="0"/>
    <x v="17"/>
    <x v="17"/>
    <x v="44"/>
    <x v="176"/>
    <x v="23"/>
    <x v="46"/>
    <x v="170"/>
    <x v="2"/>
    <x v="12"/>
    <x v="101"/>
    <x v="20"/>
    <x v="19"/>
    <x v="5"/>
  </r>
  <r>
    <x v="1"/>
    <x v="17"/>
    <x v="17"/>
    <x v="44"/>
    <x v="195"/>
    <x v="23"/>
    <x v="46"/>
    <x v="172"/>
    <x v="13"/>
    <x v="14"/>
    <x v="93"/>
    <x v="4"/>
    <x v="19"/>
    <x v="5"/>
  </r>
  <r>
    <x v="2"/>
    <x v="17"/>
    <x v="17"/>
    <x v="44"/>
    <x v="195"/>
    <x v="23"/>
    <x v="46"/>
    <x v="172"/>
    <x v="24"/>
    <x v="13"/>
    <x v="93"/>
    <x v="14"/>
    <x v="19"/>
    <x v="5"/>
  </r>
  <r>
    <x v="3"/>
    <x v="41"/>
    <x v="13"/>
    <x v="32"/>
    <x v="197"/>
    <x v="23"/>
    <x v="46"/>
    <x v="168"/>
    <x v="35"/>
    <x v="2"/>
    <x v="104"/>
    <x v="28"/>
    <x v="47"/>
    <x v="5"/>
  </r>
  <r>
    <x v="4"/>
    <x v="34"/>
    <x v="36"/>
    <x v="131"/>
    <x v="165"/>
    <x v="19"/>
    <x v="42"/>
    <x v="146"/>
    <x v="37"/>
    <x v="21"/>
    <x v="85"/>
    <x v="17"/>
    <x v="39"/>
    <x v="5"/>
  </r>
  <r>
    <x v="5"/>
    <x v="4"/>
    <x v="1"/>
    <x v="131"/>
    <x v="173"/>
    <x v="19"/>
    <x v="42"/>
    <x v="131"/>
    <x v="38"/>
    <x v="8"/>
    <x v="95"/>
    <x v="5"/>
    <x v="4"/>
    <x v="5"/>
  </r>
  <r>
    <x v="6"/>
    <x v="4"/>
    <x v="1"/>
    <x v="131"/>
    <x v="176"/>
    <x v="19"/>
    <x v="42"/>
    <x v="134"/>
    <x v="39"/>
    <x v="9"/>
    <x v="99"/>
    <x v="19"/>
    <x v="4"/>
    <x v="5"/>
  </r>
  <r>
    <x v="7"/>
    <x v="37"/>
    <x v="10"/>
    <x v="132"/>
    <x v="183"/>
    <x v="19"/>
    <x v="42"/>
    <x v="123"/>
    <x v="40"/>
    <x v="36"/>
    <x v="107"/>
    <x v="37"/>
    <x v="42"/>
    <x v="5"/>
  </r>
  <r>
    <x v="8"/>
    <x v="8"/>
    <x v="30"/>
    <x v="131"/>
    <x v="188"/>
    <x v="19"/>
    <x v="42"/>
    <x v="165"/>
    <x v="42"/>
    <x v="54"/>
    <x v="99"/>
    <x v="15"/>
    <x v="8"/>
    <x v="5"/>
  </r>
  <r>
    <x v="9"/>
    <x v="13"/>
    <x v="40"/>
    <x v="43"/>
    <x v="194"/>
    <x v="19"/>
    <x v="42"/>
    <x v="156"/>
    <x v="53"/>
    <x v="58"/>
    <x v="97"/>
    <x v="36"/>
    <x v="13"/>
    <x v="5"/>
  </r>
  <r>
    <x v="10"/>
    <x v="6"/>
    <x v="0"/>
    <x v="31"/>
    <x v="198"/>
    <x v="19"/>
    <x v="41"/>
    <x v="136"/>
    <x v="41"/>
    <x v="28"/>
    <x v="91"/>
    <x v="21"/>
    <x v="6"/>
    <x v="5"/>
  </r>
  <r>
    <x v="11"/>
    <x v="37"/>
    <x v="10"/>
    <x v="134"/>
    <x v="161"/>
    <x v="16"/>
    <x v="39"/>
    <x v="83"/>
    <x v="3"/>
    <x v="37"/>
    <x v="90"/>
    <x v="41"/>
    <x v="42"/>
    <x v="5"/>
  </r>
  <r>
    <x v="12"/>
    <x v="15"/>
    <x v="33"/>
    <x v="126"/>
    <x v="163"/>
    <x v="16"/>
    <x v="39"/>
    <x v="107"/>
    <x v="56"/>
    <x v="67"/>
    <x v="85"/>
    <x v="26"/>
    <x v="17"/>
    <x v="5"/>
  </r>
  <r>
    <x v="13"/>
    <x v="8"/>
    <x v="30"/>
    <x v="126"/>
    <x v="164"/>
    <x v="16"/>
    <x v="39"/>
    <x v="143"/>
    <x v="57"/>
    <x v="55"/>
    <x v="85"/>
    <x v="34"/>
    <x v="8"/>
    <x v="5"/>
  </r>
  <r>
    <x v="14"/>
    <x v="28"/>
    <x v="13"/>
    <x v="42"/>
    <x v="177"/>
    <x v="16"/>
    <x v="39"/>
    <x v="102"/>
    <x v="4"/>
    <x v="29"/>
    <x v="106"/>
    <x v="18"/>
    <x v="32"/>
    <x v="5"/>
  </r>
  <r>
    <x v="15"/>
    <x v="6"/>
    <x v="0"/>
    <x v="30"/>
    <x v="190"/>
    <x v="16"/>
    <x v="39"/>
    <x v="116"/>
    <x v="5"/>
    <x v="30"/>
    <x v="86"/>
    <x v="43"/>
    <x v="6"/>
    <x v="5"/>
  </r>
  <r>
    <x v="16"/>
    <x v="34"/>
    <x v="36"/>
    <x v="138"/>
    <x v="192"/>
    <x v="16"/>
    <x v="39"/>
    <x v="114"/>
    <x v="6"/>
    <x v="31"/>
    <x v="83"/>
    <x v="29"/>
    <x v="39"/>
    <x v="5"/>
  </r>
  <r>
    <x v="17"/>
    <x v="0"/>
    <x v="25"/>
    <x v="129"/>
    <x v="193"/>
    <x v="16"/>
    <x v="39"/>
    <x v="75"/>
    <x v="7"/>
    <x v="43"/>
    <x v="92"/>
    <x v="16"/>
    <x v="0"/>
    <x v="5"/>
  </r>
  <r>
    <x v="18"/>
    <x v="24"/>
    <x v="5"/>
    <x v="42"/>
    <x v="196"/>
    <x v="16"/>
    <x v="39"/>
    <x v="124"/>
    <x v="8"/>
    <x v="17"/>
    <x v="88"/>
    <x v="39"/>
    <x v="28"/>
    <x v="5"/>
  </r>
  <r>
    <x v="19"/>
    <x v="37"/>
    <x v="10"/>
    <x v="133"/>
    <x v="189"/>
    <x v="15"/>
    <x v="38"/>
    <x v="109"/>
    <x v="9"/>
    <x v="38"/>
    <x v="88"/>
    <x v="23"/>
    <x v="42"/>
    <x v="5"/>
  </r>
  <r>
    <x v="20"/>
    <x v="23"/>
    <x v="15"/>
    <x v="40"/>
    <x v="167"/>
    <x v="14"/>
    <x v="37"/>
    <x v="62"/>
    <x v="10"/>
    <x v="42"/>
    <x v="94"/>
    <x v="11"/>
    <x v="27"/>
    <x v="5"/>
  </r>
  <r>
    <x v="21"/>
    <x v="0"/>
    <x v="25"/>
    <x v="134"/>
    <x v="206"/>
    <x v="16"/>
    <x v="37"/>
    <x v="94"/>
    <x v="11"/>
    <x v="44"/>
    <x v="86"/>
    <x v="31"/>
    <x v="0"/>
    <x v="5"/>
  </r>
  <r>
    <x v="22"/>
    <x v="37"/>
    <x v="10"/>
    <x v="127"/>
    <x v="186"/>
    <x v="13"/>
    <x v="36"/>
    <x v="89"/>
    <x v="12"/>
    <x v="39"/>
    <x v="81"/>
    <x v="25"/>
    <x v="42"/>
    <x v="5"/>
  </r>
  <r>
    <x v="23"/>
    <x v="39"/>
    <x v="16"/>
    <x v="39"/>
    <x v="184"/>
    <x v="12"/>
    <x v="35"/>
    <x v="81"/>
    <x v="58"/>
    <x v="78"/>
    <x v="78"/>
    <x v="8"/>
    <x v="45"/>
    <x v="5"/>
  </r>
  <r>
    <x v="24"/>
    <x v="38"/>
    <x v="34"/>
    <x v="39"/>
    <x v="187"/>
    <x v="12"/>
    <x v="35"/>
    <x v="65"/>
    <x v="14"/>
    <x v="45"/>
    <x v="78"/>
    <x v="27"/>
    <x v="44"/>
    <x v="5"/>
  </r>
  <r>
    <x v="25"/>
    <x v="37"/>
    <x v="10"/>
    <x v="136"/>
    <x v="186"/>
    <x v="11"/>
    <x v="34"/>
    <x v="89"/>
    <x v="15"/>
    <x v="40"/>
    <x v="81"/>
    <x v="24"/>
    <x v="42"/>
    <x v="5"/>
  </r>
  <r>
    <x v="26"/>
    <x v="38"/>
    <x v="34"/>
    <x v="38"/>
    <x v="168"/>
    <x v="10"/>
    <x v="33"/>
    <x v="41"/>
    <x v="16"/>
    <x v="46"/>
    <x v="80"/>
    <x v="9"/>
    <x v="44"/>
    <x v="5"/>
  </r>
  <r>
    <x v="27"/>
    <x v="38"/>
    <x v="34"/>
    <x v="38"/>
    <x v="169"/>
    <x v="10"/>
    <x v="33"/>
    <x v="33"/>
    <x v="17"/>
    <x v="47"/>
    <x v="93"/>
    <x v="0"/>
    <x v="44"/>
    <x v="5"/>
  </r>
  <r>
    <x v="28"/>
    <x v="1"/>
    <x v="21"/>
    <x v="38"/>
    <x v="170"/>
    <x v="10"/>
    <x v="33"/>
    <x v="67"/>
    <x v="59"/>
    <x v="68"/>
    <x v="80"/>
    <x v="22"/>
    <x v="1"/>
    <x v="5"/>
  </r>
  <r>
    <x v="29"/>
    <x v="7"/>
    <x v="35"/>
    <x v="38"/>
    <x v="171"/>
    <x v="10"/>
    <x v="33"/>
    <x v="35"/>
    <x v="18"/>
    <x v="41"/>
    <x v="93"/>
    <x v="3"/>
    <x v="7"/>
    <x v="5"/>
  </r>
  <r>
    <x v="30"/>
    <x v="38"/>
    <x v="34"/>
    <x v="38"/>
    <x v="180"/>
    <x v="10"/>
    <x v="33"/>
    <x v="41"/>
    <x v="19"/>
    <x v="48"/>
    <x v="75"/>
    <x v="44"/>
    <x v="44"/>
    <x v="5"/>
  </r>
  <r>
    <x v="31"/>
    <x v="39"/>
    <x v="16"/>
    <x v="38"/>
    <x v="185"/>
    <x v="10"/>
    <x v="33"/>
    <x v="65"/>
    <x v="60"/>
    <x v="79"/>
    <x v="75"/>
    <x v="42"/>
    <x v="45"/>
    <x v="5"/>
  </r>
  <r>
    <x v="32"/>
    <x v="27"/>
    <x v="38"/>
    <x v="23"/>
    <x v="171"/>
    <x v="9"/>
    <x v="32"/>
    <x v="39"/>
    <x v="20"/>
    <x v="49"/>
    <x v="95"/>
    <x v="2"/>
    <x v="31"/>
    <x v="5"/>
  </r>
  <r>
    <x v="33"/>
    <x v="9"/>
    <x v="27"/>
    <x v="22"/>
    <x v="172"/>
    <x v="7"/>
    <x v="30"/>
    <x v="44"/>
    <x v="61"/>
    <x v="74"/>
    <x v="80"/>
    <x v="40"/>
    <x v="9"/>
    <x v="5"/>
  </r>
  <r>
    <x v="34"/>
    <x v="38"/>
    <x v="34"/>
    <x v="37"/>
    <x v="169"/>
    <x v="6"/>
    <x v="29"/>
    <x v="33"/>
    <x v="21"/>
    <x v="50"/>
    <x v="93"/>
    <x v="13"/>
    <x v="44"/>
    <x v="5"/>
  </r>
  <r>
    <x v="35"/>
    <x v="13"/>
    <x v="40"/>
    <x v="137"/>
    <x v="21"/>
    <x v="18"/>
    <x v="28"/>
    <x v="138"/>
    <x v="62"/>
    <x v="59"/>
    <x v="90"/>
    <x v="35"/>
    <x v="13"/>
    <x v="5"/>
  </r>
  <r>
    <x v="36"/>
    <x v="15"/>
    <x v="33"/>
    <x v="130"/>
    <x v="262"/>
    <x v="12"/>
    <x v="27"/>
    <x v="128"/>
    <x v="43"/>
    <x v="69"/>
    <x v="78"/>
    <x v="1"/>
    <x v="17"/>
    <x v="5"/>
  </r>
  <r>
    <x v="37"/>
    <x v="4"/>
    <x v="1"/>
    <x v="137"/>
    <x v="22"/>
    <x v="18"/>
    <x v="27"/>
    <x v="141"/>
    <x v="22"/>
    <x v="10"/>
    <x v="90"/>
    <x v="6"/>
    <x v="4"/>
    <x v="5"/>
  </r>
  <r>
    <x v="38"/>
    <x v="30"/>
    <x v="2"/>
    <x v="180"/>
    <x v="207"/>
    <x v="5"/>
    <x v="26"/>
    <x v="19"/>
    <x v="23"/>
    <x v="51"/>
    <x v="81"/>
    <x v="10"/>
    <x v="34"/>
    <x v="5"/>
  </r>
  <r>
    <x v="39"/>
    <x v="8"/>
    <x v="30"/>
    <x v="131"/>
    <x v="69"/>
    <x v="19"/>
    <x v="16"/>
    <x v="230"/>
    <x v="44"/>
    <x v="56"/>
    <x v="82"/>
    <x v="38"/>
    <x v="8"/>
    <x v="5"/>
  </r>
  <r>
    <x v="40"/>
    <x v="9"/>
    <x v="27"/>
    <x v="41"/>
    <x v="45"/>
    <x v="4"/>
    <x v="14"/>
    <x v="30"/>
    <x v="45"/>
    <x v="75"/>
    <x v="77"/>
    <x v="32"/>
    <x v="9"/>
    <x v="5"/>
  </r>
  <r>
    <x v="41"/>
    <x v="9"/>
    <x v="27"/>
    <x v="39"/>
    <x v="82"/>
    <x v="12"/>
    <x v="13"/>
    <x v="113"/>
    <x v="46"/>
    <x v="76"/>
    <x v="76"/>
    <x v="12"/>
    <x v="9"/>
    <x v="5"/>
  </r>
  <r>
    <x v="42"/>
    <x v="1"/>
    <x v="21"/>
    <x v="39"/>
    <x v="83"/>
    <x v="12"/>
    <x v="13"/>
    <x v="114"/>
    <x v="47"/>
    <x v="70"/>
    <x v="76"/>
    <x v="7"/>
    <x v="1"/>
    <x v="5"/>
  </r>
  <r>
    <x v="43"/>
    <x v="15"/>
    <x v="33"/>
    <x v="128"/>
    <x v="107"/>
    <x v="12"/>
    <x v="1"/>
    <x v="228"/>
    <x v="48"/>
    <x v="71"/>
    <x v="75"/>
    <x v="33"/>
    <x v="17"/>
    <x v="5"/>
  </r>
  <r>
    <x v="44"/>
    <x v="8"/>
    <x v="30"/>
    <x v="128"/>
    <x v="108"/>
    <x v="12"/>
    <x v="1"/>
    <x v="239"/>
    <x v="49"/>
    <x v="57"/>
    <x v="75"/>
    <x v="30"/>
    <x v="8"/>
    <x v="5"/>
  </r>
  <r>
    <x v="0"/>
    <x v="17"/>
    <x v="17"/>
    <x v="157"/>
    <x v="253"/>
    <x v="21"/>
    <x v="44"/>
    <x v="197"/>
    <x v="2"/>
    <x v="12"/>
    <x v="63"/>
    <x v="0"/>
    <x v="19"/>
    <x v="6"/>
  </r>
  <r>
    <x v="1"/>
    <x v="41"/>
    <x v="13"/>
    <x v="156"/>
    <x v="18"/>
    <x v="23"/>
    <x v="43"/>
    <x v="225"/>
    <x v="13"/>
    <x v="2"/>
    <x v="64"/>
    <x v="15"/>
    <x v="47"/>
    <x v="6"/>
  </r>
  <r>
    <x v="2"/>
    <x v="34"/>
    <x v="36"/>
    <x v="26"/>
    <x v="246"/>
    <x v="19"/>
    <x v="42"/>
    <x v="173"/>
    <x v="24"/>
    <x v="21"/>
    <x v="56"/>
    <x v="25"/>
    <x v="39"/>
    <x v="6"/>
  </r>
  <r>
    <x v="3"/>
    <x v="4"/>
    <x v="1"/>
    <x v="29"/>
    <x v="7"/>
    <x v="19"/>
    <x v="41"/>
    <x v="177"/>
    <x v="35"/>
    <x v="8"/>
    <x v="53"/>
    <x v="16"/>
    <x v="4"/>
    <x v="6"/>
  </r>
  <r>
    <x v="4"/>
    <x v="31"/>
    <x v="12"/>
    <x v="155"/>
    <x v="0"/>
    <x v="16"/>
    <x v="39"/>
    <x v="112"/>
    <x v="0"/>
    <x v="0"/>
    <x v="62"/>
    <x v="11"/>
    <x v="35"/>
    <x v="6"/>
  </r>
  <r>
    <x v="5"/>
    <x v="37"/>
    <x v="10"/>
    <x v="155"/>
    <x v="220"/>
    <x v="16"/>
    <x v="39"/>
    <x v="96"/>
    <x v="37"/>
    <x v="36"/>
    <x v="74"/>
    <x v="30"/>
    <x v="42"/>
    <x v="6"/>
  </r>
  <r>
    <x v="6"/>
    <x v="19"/>
    <x v="31"/>
    <x v="27"/>
    <x v="226"/>
    <x v="16"/>
    <x v="39"/>
    <x v="129"/>
    <x v="42"/>
    <x v="64"/>
    <x v="70"/>
    <x v="6"/>
    <x v="22"/>
    <x v="6"/>
  </r>
  <r>
    <x v="7"/>
    <x v="15"/>
    <x v="33"/>
    <x v="25"/>
    <x v="230"/>
    <x v="16"/>
    <x v="39"/>
    <x v="106"/>
    <x v="53"/>
    <x v="67"/>
    <x v="55"/>
    <x v="31"/>
    <x v="17"/>
    <x v="6"/>
  </r>
  <r>
    <x v="8"/>
    <x v="8"/>
    <x v="30"/>
    <x v="25"/>
    <x v="233"/>
    <x v="16"/>
    <x v="39"/>
    <x v="159"/>
    <x v="56"/>
    <x v="54"/>
    <x v="55"/>
    <x v="3"/>
    <x v="8"/>
    <x v="6"/>
  </r>
  <r>
    <x v="9"/>
    <x v="34"/>
    <x v="36"/>
    <x v="25"/>
    <x v="234"/>
    <x v="16"/>
    <x v="39"/>
    <x v="112"/>
    <x v="38"/>
    <x v="28"/>
    <x v="55"/>
    <x v="9"/>
    <x v="39"/>
    <x v="6"/>
  </r>
  <r>
    <x v="10"/>
    <x v="24"/>
    <x v="5"/>
    <x v="155"/>
    <x v="236"/>
    <x v="16"/>
    <x v="39"/>
    <x v="127"/>
    <x v="39"/>
    <x v="17"/>
    <x v="55"/>
    <x v="29"/>
    <x v="28"/>
    <x v="6"/>
  </r>
  <r>
    <x v="11"/>
    <x v="0"/>
    <x v="25"/>
    <x v="155"/>
    <x v="238"/>
    <x v="16"/>
    <x v="39"/>
    <x v="111"/>
    <x v="40"/>
    <x v="43"/>
    <x v="63"/>
    <x v="12"/>
    <x v="0"/>
    <x v="6"/>
  </r>
  <r>
    <x v="12"/>
    <x v="37"/>
    <x v="10"/>
    <x v="154"/>
    <x v="223"/>
    <x v="14"/>
    <x v="37"/>
    <x v="92"/>
    <x v="3"/>
    <x v="37"/>
    <x v="52"/>
    <x v="4"/>
    <x v="42"/>
    <x v="6"/>
  </r>
  <r>
    <x v="13"/>
    <x v="6"/>
    <x v="0"/>
    <x v="154"/>
    <x v="223"/>
    <x v="14"/>
    <x v="37"/>
    <x v="74"/>
    <x v="41"/>
    <x v="29"/>
    <x v="52"/>
    <x v="14"/>
    <x v="6"/>
    <x v="6"/>
  </r>
  <r>
    <x v="14"/>
    <x v="0"/>
    <x v="25"/>
    <x v="154"/>
    <x v="232"/>
    <x v="14"/>
    <x v="37"/>
    <x v="85"/>
    <x v="4"/>
    <x v="44"/>
    <x v="61"/>
    <x v="13"/>
    <x v="0"/>
    <x v="6"/>
  </r>
  <r>
    <x v="15"/>
    <x v="27"/>
    <x v="38"/>
    <x v="154"/>
    <x v="238"/>
    <x v="14"/>
    <x v="37"/>
    <x v="59"/>
    <x v="5"/>
    <x v="45"/>
    <x v="50"/>
    <x v="26"/>
    <x v="31"/>
    <x v="6"/>
  </r>
  <r>
    <x v="16"/>
    <x v="19"/>
    <x v="31"/>
    <x v="24"/>
    <x v="242"/>
    <x v="14"/>
    <x v="37"/>
    <x v="66"/>
    <x v="57"/>
    <x v="65"/>
    <x v="67"/>
    <x v="27"/>
    <x v="22"/>
    <x v="6"/>
  </r>
  <r>
    <x v="17"/>
    <x v="33"/>
    <x v="24"/>
    <x v="24"/>
    <x v="243"/>
    <x v="14"/>
    <x v="37"/>
    <x v="58"/>
    <x v="58"/>
    <x v="66"/>
    <x v="67"/>
    <x v="18"/>
    <x v="38"/>
    <x v="6"/>
  </r>
  <r>
    <x v="18"/>
    <x v="22"/>
    <x v="32"/>
    <x v="24"/>
    <x v="258"/>
    <x v="14"/>
    <x v="37"/>
    <x v="70"/>
    <x v="6"/>
    <x v="38"/>
    <x v="87"/>
    <x v="34"/>
    <x v="26"/>
    <x v="6"/>
  </r>
  <r>
    <x v="19"/>
    <x v="37"/>
    <x v="11"/>
    <x v="140"/>
    <x v="265"/>
    <x v="12"/>
    <x v="35"/>
    <x v="93"/>
    <x v="8"/>
    <x v="39"/>
    <x v="51"/>
    <x v="17"/>
    <x v="43"/>
    <x v="6"/>
  </r>
  <r>
    <x v="20"/>
    <x v="38"/>
    <x v="34"/>
    <x v="140"/>
    <x v="265"/>
    <x v="12"/>
    <x v="35"/>
    <x v="93"/>
    <x v="7"/>
    <x v="46"/>
    <x v="51"/>
    <x v="32"/>
    <x v="44"/>
    <x v="6"/>
  </r>
  <r>
    <x v="21"/>
    <x v="9"/>
    <x v="27"/>
    <x v="139"/>
    <x v="210"/>
    <x v="9"/>
    <x v="32"/>
    <x v="51"/>
    <x v="60"/>
    <x v="74"/>
    <x v="73"/>
    <x v="1"/>
    <x v="9"/>
    <x v="6"/>
  </r>
  <r>
    <x v="22"/>
    <x v="1"/>
    <x v="21"/>
    <x v="139"/>
    <x v="210"/>
    <x v="9"/>
    <x v="32"/>
    <x v="51"/>
    <x v="61"/>
    <x v="69"/>
    <x v="73"/>
    <x v="21"/>
    <x v="1"/>
    <x v="6"/>
  </r>
  <r>
    <x v="23"/>
    <x v="10"/>
    <x v="13"/>
    <x v="139"/>
    <x v="210"/>
    <x v="9"/>
    <x v="32"/>
    <x v="51"/>
    <x v="59"/>
    <x v="68"/>
    <x v="73"/>
    <x v="22"/>
    <x v="10"/>
    <x v="6"/>
  </r>
  <r>
    <x v="24"/>
    <x v="38"/>
    <x v="34"/>
    <x v="154"/>
    <x v="28"/>
    <x v="14"/>
    <x v="32"/>
    <x v="73"/>
    <x v="9"/>
    <x v="47"/>
    <x v="58"/>
    <x v="23"/>
    <x v="44"/>
    <x v="6"/>
  </r>
  <r>
    <x v="25"/>
    <x v="7"/>
    <x v="35"/>
    <x v="154"/>
    <x v="31"/>
    <x v="14"/>
    <x v="30"/>
    <x v="61"/>
    <x v="10"/>
    <x v="40"/>
    <x v="58"/>
    <x v="28"/>
    <x v="7"/>
    <x v="6"/>
  </r>
  <r>
    <x v="26"/>
    <x v="30"/>
    <x v="2"/>
    <x v="158"/>
    <x v="215"/>
    <x v="6"/>
    <x v="29"/>
    <x v="18"/>
    <x v="11"/>
    <x v="51"/>
    <x v="60"/>
    <x v="7"/>
    <x v="34"/>
    <x v="6"/>
  </r>
  <r>
    <x v="27"/>
    <x v="30"/>
    <x v="2"/>
    <x v="135"/>
    <x v="208"/>
    <x v="5"/>
    <x v="28"/>
    <x v="8"/>
    <x v="12"/>
    <x v="52"/>
    <x v="61"/>
    <x v="8"/>
    <x v="34"/>
    <x v="6"/>
  </r>
  <r>
    <x v="28"/>
    <x v="4"/>
    <x v="1"/>
    <x v="157"/>
    <x v="53"/>
    <x v="21"/>
    <x v="28"/>
    <x v="201"/>
    <x v="14"/>
    <x v="9"/>
    <x v="44"/>
    <x v="10"/>
    <x v="4"/>
    <x v="6"/>
  </r>
  <r>
    <x v="29"/>
    <x v="9"/>
    <x v="27"/>
    <x v="28"/>
    <x v="122"/>
    <x v="2"/>
    <x v="25"/>
    <x v="2"/>
    <x v="44"/>
    <x v="75"/>
    <x v="73"/>
    <x v="2"/>
    <x v="9"/>
    <x v="6"/>
  </r>
  <r>
    <x v="30"/>
    <x v="10"/>
    <x v="13"/>
    <x v="28"/>
    <x v="122"/>
    <x v="2"/>
    <x v="25"/>
    <x v="2"/>
    <x v="62"/>
    <x v="70"/>
    <x v="73"/>
    <x v="20"/>
    <x v="10"/>
    <x v="6"/>
  </r>
  <r>
    <x v="31"/>
    <x v="1"/>
    <x v="21"/>
    <x v="28"/>
    <x v="122"/>
    <x v="2"/>
    <x v="25"/>
    <x v="2"/>
    <x v="43"/>
    <x v="71"/>
    <x v="73"/>
    <x v="33"/>
    <x v="1"/>
    <x v="6"/>
  </r>
  <r>
    <x v="32"/>
    <x v="22"/>
    <x v="7"/>
    <x v="153"/>
    <x v="77"/>
    <x v="12"/>
    <x v="18"/>
    <x v="160"/>
    <x v="15"/>
    <x v="10"/>
    <x v="65"/>
    <x v="5"/>
    <x v="25"/>
    <x v="6"/>
  </r>
  <r>
    <x v="33"/>
    <x v="13"/>
    <x v="40"/>
    <x v="154"/>
    <x v="97"/>
    <x v="14"/>
    <x v="10"/>
    <x v="81"/>
    <x v="45"/>
    <x v="58"/>
    <x v="51"/>
    <x v="19"/>
    <x v="13"/>
    <x v="6"/>
  </r>
  <r>
    <x v="34"/>
    <x v="2"/>
    <x v="44"/>
    <x v="156"/>
    <x v="114"/>
    <x v="23"/>
    <x v="0"/>
    <x v="223"/>
    <x v="16"/>
    <x v="30"/>
    <x v="45"/>
    <x v="24"/>
    <x v="2"/>
    <x v="6"/>
  </r>
  <r>
    <x v="0"/>
    <x v="17"/>
    <x v="17"/>
    <x v="108"/>
    <x v="70"/>
    <x v="23"/>
    <x v="46"/>
    <x v="240"/>
    <x v="2"/>
    <x v="12"/>
    <x v="65"/>
    <x v="12"/>
    <x v="19"/>
    <x v="7"/>
  </r>
  <r>
    <x v="1"/>
    <x v="34"/>
    <x v="36"/>
    <x v="62"/>
    <x v="71"/>
    <x v="20"/>
    <x v="43"/>
    <x v="236"/>
    <x v="13"/>
    <x v="21"/>
    <x v="63"/>
    <x v="3"/>
    <x v="39"/>
    <x v="7"/>
  </r>
  <r>
    <x v="2"/>
    <x v="8"/>
    <x v="30"/>
    <x v="61"/>
    <x v="38"/>
    <x v="18"/>
    <x v="41"/>
    <x v="229"/>
    <x v="42"/>
    <x v="54"/>
    <x v="63"/>
    <x v="9"/>
    <x v="8"/>
    <x v="7"/>
  </r>
  <r>
    <x v="3"/>
    <x v="4"/>
    <x v="1"/>
    <x v="66"/>
    <x v="44"/>
    <x v="18"/>
    <x v="41"/>
    <x v="224"/>
    <x v="24"/>
    <x v="8"/>
    <x v="68"/>
    <x v="27"/>
    <x v="4"/>
    <x v="7"/>
  </r>
  <r>
    <x v="4"/>
    <x v="13"/>
    <x v="40"/>
    <x v="67"/>
    <x v="46"/>
    <x v="18"/>
    <x v="41"/>
    <x v="226"/>
    <x v="53"/>
    <x v="58"/>
    <x v="50"/>
    <x v="11"/>
    <x v="13"/>
    <x v="7"/>
  </r>
  <r>
    <x v="5"/>
    <x v="37"/>
    <x v="10"/>
    <x v="104"/>
    <x v="63"/>
    <x v="18"/>
    <x v="41"/>
    <x v="218"/>
    <x v="35"/>
    <x v="36"/>
    <x v="72"/>
    <x v="7"/>
    <x v="42"/>
    <x v="7"/>
  </r>
  <r>
    <x v="6"/>
    <x v="37"/>
    <x v="10"/>
    <x v="107"/>
    <x v="61"/>
    <x v="16"/>
    <x v="39"/>
    <x v="217"/>
    <x v="37"/>
    <x v="37"/>
    <x v="66"/>
    <x v="16"/>
    <x v="42"/>
    <x v="7"/>
  </r>
  <r>
    <x v="7"/>
    <x v="0"/>
    <x v="25"/>
    <x v="107"/>
    <x v="62"/>
    <x v="16"/>
    <x v="39"/>
    <x v="214"/>
    <x v="38"/>
    <x v="43"/>
    <x v="66"/>
    <x v="17"/>
    <x v="0"/>
    <x v="7"/>
  </r>
  <r>
    <x v="8"/>
    <x v="34"/>
    <x v="36"/>
    <x v="152"/>
    <x v="66"/>
    <x v="16"/>
    <x v="39"/>
    <x v="175"/>
    <x v="39"/>
    <x v="28"/>
    <x v="59"/>
    <x v="24"/>
    <x v="39"/>
    <x v="7"/>
  </r>
  <r>
    <x v="9"/>
    <x v="15"/>
    <x v="33"/>
    <x v="152"/>
    <x v="72"/>
    <x v="16"/>
    <x v="39"/>
    <x v="176"/>
    <x v="56"/>
    <x v="67"/>
    <x v="59"/>
    <x v="4"/>
    <x v="17"/>
    <x v="7"/>
  </r>
  <r>
    <x v="10"/>
    <x v="28"/>
    <x v="13"/>
    <x v="147"/>
    <x v="85"/>
    <x v="18"/>
    <x v="39"/>
    <x v="213"/>
    <x v="40"/>
    <x v="29"/>
    <x v="71"/>
    <x v="33"/>
    <x v="32"/>
    <x v="7"/>
  </r>
  <r>
    <x v="11"/>
    <x v="15"/>
    <x v="33"/>
    <x v="145"/>
    <x v="57"/>
    <x v="15"/>
    <x v="38"/>
    <x v="222"/>
    <x v="57"/>
    <x v="68"/>
    <x v="47"/>
    <x v="25"/>
    <x v="17"/>
    <x v="7"/>
  </r>
  <r>
    <x v="12"/>
    <x v="8"/>
    <x v="30"/>
    <x v="145"/>
    <x v="58"/>
    <x v="15"/>
    <x v="38"/>
    <x v="232"/>
    <x v="58"/>
    <x v="55"/>
    <x v="47"/>
    <x v="35"/>
    <x v="8"/>
    <x v="7"/>
  </r>
  <r>
    <x v="13"/>
    <x v="19"/>
    <x v="31"/>
    <x v="63"/>
    <x v="78"/>
    <x v="15"/>
    <x v="38"/>
    <x v="203"/>
    <x v="59"/>
    <x v="64"/>
    <x v="63"/>
    <x v="6"/>
    <x v="22"/>
    <x v="7"/>
  </r>
  <r>
    <x v="14"/>
    <x v="33"/>
    <x v="24"/>
    <x v="63"/>
    <x v="79"/>
    <x v="15"/>
    <x v="38"/>
    <x v="204"/>
    <x v="60"/>
    <x v="65"/>
    <x v="63"/>
    <x v="0"/>
    <x v="38"/>
    <x v="7"/>
  </r>
  <r>
    <x v="15"/>
    <x v="27"/>
    <x v="38"/>
    <x v="109"/>
    <x v="56"/>
    <x v="14"/>
    <x v="37"/>
    <x v="153"/>
    <x v="41"/>
    <x v="44"/>
    <x v="54"/>
    <x v="2"/>
    <x v="31"/>
    <x v="7"/>
  </r>
  <r>
    <x v="16"/>
    <x v="6"/>
    <x v="0"/>
    <x v="106"/>
    <x v="268"/>
    <x v="13"/>
    <x v="36"/>
    <x v="148"/>
    <x v="3"/>
    <x v="30"/>
    <x v="57"/>
    <x v="13"/>
    <x v="6"/>
    <x v="7"/>
  </r>
  <r>
    <x v="17"/>
    <x v="0"/>
    <x v="25"/>
    <x v="106"/>
    <x v="13"/>
    <x v="13"/>
    <x v="36"/>
    <x v="140"/>
    <x v="4"/>
    <x v="45"/>
    <x v="49"/>
    <x v="21"/>
    <x v="0"/>
    <x v="7"/>
  </r>
  <r>
    <x v="18"/>
    <x v="37"/>
    <x v="10"/>
    <x v="106"/>
    <x v="14"/>
    <x v="13"/>
    <x v="36"/>
    <x v="150"/>
    <x v="5"/>
    <x v="38"/>
    <x v="49"/>
    <x v="14"/>
    <x v="42"/>
    <x v="7"/>
  </r>
  <r>
    <x v="19"/>
    <x v="15"/>
    <x v="33"/>
    <x v="151"/>
    <x v="67"/>
    <x v="13"/>
    <x v="36"/>
    <x v="182"/>
    <x v="61"/>
    <x v="69"/>
    <x v="46"/>
    <x v="32"/>
    <x v="17"/>
    <x v="7"/>
  </r>
  <r>
    <x v="20"/>
    <x v="38"/>
    <x v="34"/>
    <x v="105"/>
    <x v="26"/>
    <x v="11"/>
    <x v="34"/>
    <x v="120"/>
    <x v="6"/>
    <x v="46"/>
    <x v="62"/>
    <x v="15"/>
    <x v="44"/>
    <x v="7"/>
  </r>
  <r>
    <x v="21"/>
    <x v="7"/>
    <x v="35"/>
    <x v="105"/>
    <x v="27"/>
    <x v="11"/>
    <x v="34"/>
    <x v="119"/>
    <x v="7"/>
    <x v="39"/>
    <x v="62"/>
    <x v="23"/>
    <x v="7"/>
    <x v="7"/>
  </r>
  <r>
    <x v="22"/>
    <x v="27"/>
    <x v="38"/>
    <x v="110"/>
    <x v="32"/>
    <x v="11"/>
    <x v="34"/>
    <x v="98"/>
    <x v="8"/>
    <x v="47"/>
    <x v="48"/>
    <x v="8"/>
    <x v="31"/>
    <x v="7"/>
  </r>
  <r>
    <x v="23"/>
    <x v="1"/>
    <x v="21"/>
    <x v="144"/>
    <x v="40"/>
    <x v="10"/>
    <x v="33"/>
    <x v="159"/>
    <x v="44"/>
    <x v="70"/>
    <x v="69"/>
    <x v="1"/>
    <x v="1"/>
    <x v="7"/>
  </r>
  <r>
    <x v="24"/>
    <x v="9"/>
    <x v="27"/>
    <x v="144"/>
    <x v="40"/>
    <x v="10"/>
    <x v="33"/>
    <x v="159"/>
    <x v="62"/>
    <x v="74"/>
    <x v="69"/>
    <x v="5"/>
    <x v="9"/>
    <x v="7"/>
  </r>
  <r>
    <x v="25"/>
    <x v="10"/>
    <x v="13"/>
    <x v="144"/>
    <x v="40"/>
    <x v="10"/>
    <x v="33"/>
    <x v="159"/>
    <x v="43"/>
    <x v="71"/>
    <x v="69"/>
    <x v="18"/>
    <x v="10"/>
    <x v="7"/>
  </r>
  <r>
    <x v="26"/>
    <x v="38"/>
    <x v="34"/>
    <x v="100"/>
    <x v="259"/>
    <x v="8"/>
    <x v="31"/>
    <x v="86"/>
    <x v="9"/>
    <x v="48"/>
    <x v="49"/>
    <x v="10"/>
    <x v="44"/>
    <x v="7"/>
  </r>
  <r>
    <x v="27"/>
    <x v="7"/>
    <x v="35"/>
    <x v="101"/>
    <x v="280"/>
    <x v="8"/>
    <x v="31"/>
    <x v="87"/>
    <x v="10"/>
    <x v="40"/>
    <x v="49"/>
    <x v="28"/>
    <x v="7"/>
    <x v="7"/>
  </r>
  <r>
    <x v="28"/>
    <x v="24"/>
    <x v="5"/>
    <x v="64"/>
    <x v="87"/>
    <x v="10"/>
    <x v="29"/>
    <x v="195"/>
    <x v="11"/>
    <x v="17"/>
    <x v="65"/>
    <x v="20"/>
    <x v="28"/>
    <x v="7"/>
  </r>
  <r>
    <x v="29"/>
    <x v="30"/>
    <x v="2"/>
    <x v="146"/>
    <x v="245"/>
    <x v="5"/>
    <x v="28"/>
    <x v="22"/>
    <x v="12"/>
    <x v="51"/>
    <x v="66"/>
    <x v="22"/>
    <x v="34"/>
    <x v="7"/>
  </r>
  <r>
    <x v="30"/>
    <x v="4"/>
    <x v="1"/>
    <x v="150"/>
    <x v="94"/>
    <x v="9"/>
    <x v="20"/>
    <x v="180"/>
    <x v="14"/>
    <x v="9"/>
    <x v="59"/>
    <x v="26"/>
    <x v="4"/>
    <x v="7"/>
  </r>
  <r>
    <x v="31"/>
    <x v="13"/>
    <x v="40"/>
    <x v="142"/>
    <x v="92"/>
    <x v="1"/>
    <x v="15"/>
    <x v="5"/>
    <x v="45"/>
    <x v="59"/>
    <x v="43"/>
    <x v="34"/>
    <x v="13"/>
    <x v="7"/>
  </r>
  <r>
    <x v="32"/>
    <x v="8"/>
    <x v="30"/>
    <x v="149"/>
    <x v="109"/>
    <x v="10"/>
    <x v="5"/>
    <x v="234"/>
    <x v="46"/>
    <x v="56"/>
    <x v="44"/>
    <x v="19"/>
    <x v="8"/>
    <x v="7"/>
  </r>
  <r>
    <x v="33"/>
    <x v="15"/>
    <x v="33"/>
    <x v="149"/>
    <x v="110"/>
    <x v="10"/>
    <x v="5"/>
    <x v="219"/>
    <x v="47"/>
    <x v="72"/>
    <x v="44"/>
    <x v="30"/>
    <x v="17"/>
    <x v="7"/>
  </r>
  <r>
    <x v="34"/>
    <x v="21"/>
    <x v="20"/>
    <x v="148"/>
    <x v="111"/>
    <x v="10"/>
    <x v="4"/>
    <x v="143"/>
    <x v="48"/>
    <x v="73"/>
    <x v="44"/>
    <x v="31"/>
    <x v="24"/>
    <x v="7"/>
  </r>
  <r>
    <x v="35"/>
    <x v="13"/>
    <x v="40"/>
    <x v="65"/>
    <x v="112"/>
    <x v="15"/>
    <x v="3"/>
    <x v="215"/>
    <x v="49"/>
    <x v="60"/>
    <x v="48"/>
    <x v="36"/>
    <x v="13"/>
    <x v="7"/>
  </r>
  <r>
    <x v="36"/>
    <x v="13"/>
    <x v="40"/>
    <x v="161"/>
    <x v="113"/>
    <x v="3"/>
    <x v="2"/>
    <x v="57"/>
    <x v="50"/>
    <x v="61"/>
    <x v="48"/>
    <x v="29"/>
    <x v="13"/>
    <x v="7"/>
  </r>
  <r>
    <x v="0"/>
    <x v="34"/>
    <x v="36"/>
    <x v="59"/>
    <x v="81"/>
    <x v="19"/>
    <x v="42"/>
    <x v="237"/>
    <x v="2"/>
    <x v="21"/>
    <x v="117"/>
    <x v="3"/>
    <x v="39"/>
    <x v="0"/>
  </r>
  <r>
    <x v="1"/>
    <x v="13"/>
    <x v="40"/>
    <x v="6"/>
    <x v="59"/>
    <x v="18"/>
    <x v="41"/>
    <x v="209"/>
    <x v="42"/>
    <x v="58"/>
    <x v="141"/>
    <x v="14"/>
    <x v="13"/>
    <x v="0"/>
  </r>
  <r>
    <x v="2"/>
    <x v="37"/>
    <x v="10"/>
    <x v="48"/>
    <x v="33"/>
    <x v="16"/>
    <x v="39"/>
    <x v="152"/>
    <x v="13"/>
    <x v="36"/>
    <x v="128"/>
    <x v="8"/>
    <x v="42"/>
    <x v="0"/>
  </r>
  <r>
    <x v="3"/>
    <x v="0"/>
    <x v="25"/>
    <x v="48"/>
    <x v="34"/>
    <x v="16"/>
    <x v="39"/>
    <x v="154"/>
    <x v="24"/>
    <x v="43"/>
    <x v="128"/>
    <x v="9"/>
    <x v="0"/>
    <x v="0"/>
  </r>
  <r>
    <x v="4"/>
    <x v="13"/>
    <x v="40"/>
    <x v="8"/>
    <x v="48"/>
    <x v="16"/>
    <x v="39"/>
    <x v="168"/>
    <x v="53"/>
    <x v="59"/>
    <x v="138"/>
    <x v="12"/>
    <x v="13"/>
    <x v="0"/>
  </r>
  <r>
    <x v="5"/>
    <x v="8"/>
    <x v="30"/>
    <x v="8"/>
    <x v="49"/>
    <x v="16"/>
    <x v="39"/>
    <x v="172"/>
    <x v="56"/>
    <x v="54"/>
    <x v="138"/>
    <x v="13"/>
    <x v="8"/>
    <x v="0"/>
  </r>
  <r>
    <x v="6"/>
    <x v="4"/>
    <x v="1"/>
    <x v="8"/>
    <x v="65"/>
    <x v="16"/>
    <x v="39"/>
    <x v="198"/>
    <x v="35"/>
    <x v="8"/>
    <x v="118"/>
    <x v="4"/>
    <x v="4"/>
    <x v="0"/>
  </r>
  <r>
    <x v="7"/>
    <x v="34"/>
    <x v="36"/>
    <x v="5"/>
    <x v="50"/>
    <x v="14"/>
    <x v="37"/>
    <x v="200"/>
    <x v="37"/>
    <x v="28"/>
    <x v="114"/>
    <x v="0"/>
    <x v="39"/>
    <x v="0"/>
  </r>
  <r>
    <x v="8"/>
    <x v="0"/>
    <x v="25"/>
    <x v="47"/>
    <x v="54"/>
    <x v="13"/>
    <x v="36"/>
    <x v="154"/>
    <x v="38"/>
    <x v="44"/>
    <x v="117"/>
    <x v="1"/>
    <x v="0"/>
    <x v="0"/>
  </r>
  <r>
    <x v="9"/>
    <x v="37"/>
    <x v="10"/>
    <x v="47"/>
    <x v="55"/>
    <x v="13"/>
    <x v="36"/>
    <x v="157"/>
    <x v="39"/>
    <x v="37"/>
    <x v="117"/>
    <x v="2"/>
    <x v="42"/>
    <x v="0"/>
  </r>
  <r>
    <x v="10"/>
    <x v="27"/>
    <x v="38"/>
    <x v="21"/>
    <x v="60"/>
    <x v="12"/>
    <x v="35"/>
    <x v="94"/>
    <x v="40"/>
    <x v="45"/>
    <x v="136"/>
    <x v="11"/>
    <x v="31"/>
    <x v="0"/>
  </r>
  <r>
    <x v="11"/>
    <x v="7"/>
    <x v="35"/>
    <x v="46"/>
    <x v="35"/>
    <x v="10"/>
    <x v="33"/>
    <x v="80"/>
    <x v="41"/>
    <x v="38"/>
    <x v="120"/>
    <x v="5"/>
    <x v="7"/>
    <x v="0"/>
  </r>
  <r>
    <x v="12"/>
    <x v="38"/>
    <x v="34"/>
    <x v="46"/>
    <x v="36"/>
    <x v="10"/>
    <x v="33"/>
    <x v="82"/>
    <x v="3"/>
    <x v="46"/>
    <x v="120"/>
    <x v="6"/>
    <x v="44"/>
    <x v="0"/>
  </r>
  <r>
    <x v="13"/>
    <x v="27"/>
    <x v="38"/>
    <x v="20"/>
    <x v="51"/>
    <x v="8"/>
    <x v="31"/>
    <x v="91"/>
    <x v="4"/>
    <x v="47"/>
    <x v="123"/>
    <x v="7"/>
    <x v="31"/>
    <x v="0"/>
  </r>
  <r>
    <x v="14"/>
    <x v="13"/>
    <x v="40"/>
    <x v="7"/>
    <x v="93"/>
    <x v="16"/>
    <x v="26"/>
    <x v="235"/>
    <x v="57"/>
    <x v="60"/>
    <x v="135"/>
    <x v="10"/>
    <x v="13"/>
    <x v="0"/>
  </r>
  <r>
    <x v="0"/>
    <x v="17"/>
    <x v="18"/>
    <x v="79"/>
    <x v="263"/>
    <x v="23"/>
    <x v="46"/>
    <x v="192"/>
    <x v="2"/>
    <x v="12"/>
    <x v="143"/>
    <x v="40"/>
    <x v="20"/>
    <x v="2"/>
  </r>
  <r>
    <x v="1"/>
    <x v="17"/>
    <x v="17"/>
    <x v="72"/>
    <x v="263"/>
    <x v="22"/>
    <x v="45"/>
    <x v="192"/>
    <x v="13"/>
    <x v="13"/>
    <x v="143"/>
    <x v="39"/>
    <x v="19"/>
    <x v="2"/>
  </r>
  <r>
    <x v="2"/>
    <x v="34"/>
    <x v="36"/>
    <x v="80"/>
    <x v="279"/>
    <x v="22"/>
    <x v="45"/>
    <x v="176"/>
    <x v="24"/>
    <x v="21"/>
    <x v="133"/>
    <x v="31"/>
    <x v="39"/>
    <x v="2"/>
  </r>
  <r>
    <x v="3"/>
    <x v="13"/>
    <x v="40"/>
    <x v="87"/>
    <x v="269"/>
    <x v="20"/>
    <x v="43"/>
    <x v="170"/>
    <x v="42"/>
    <x v="58"/>
    <x v="132"/>
    <x v="11"/>
    <x v="13"/>
    <x v="2"/>
  </r>
  <r>
    <x v="4"/>
    <x v="34"/>
    <x v="36"/>
    <x v="81"/>
    <x v="274"/>
    <x v="20"/>
    <x v="43"/>
    <x v="161"/>
    <x v="35"/>
    <x v="28"/>
    <x v="126"/>
    <x v="24"/>
    <x v="39"/>
    <x v="2"/>
  </r>
  <r>
    <x v="5"/>
    <x v="34"/>
    <x v="36"/>
    <x v="80"/>
    <x v="14"/>
    <x v="22"/>
    <x v="43"/>
    <x v="185"/>
    <x v="37"/>
    <x v="29"/>
    <x v="130"/>
    <x v="4"/>
    <x v="39"/>
    <x v="2"/>
  </r>
  <r>
    <x v="6"/>
    <x v="17"/>
    <x v="17"/>
    <x v="79"/>
    <x v="17"/>
    <x v="23"/>
    <x v="43"/>
    <x v="206"/>
    <x v="38"/>
    <x v="14"/>
    <x v="119"/>
    <x v="33"/>
    <x v="19"/>
    <x v="2"/>
  </r>
  <r>
    <x v="7"/>
    <x v="4"/>
    <x v="1"/>
    <x v="160"/>
    <x v="261"/>
    <x v="19"/>
    <x v="42"/>
    <x v="163"/>
    <x v="39"/>
    <x v="8"/>
    <x v="131"/>
    <x v="17"/>
    <x v="4"/>
    <x v="2"/>
  </r>
  <r>
    <x v="8"/>
    <x v="6"/>
    <x v="0"/>
    <x v="73"/>
    <x v="277"/>
    <x v="19"/>
    <x v="42"/>
    <x v="164"/>
    <x v="40"/>
    <x v="30"/>
    <x v="142"/>
    <x v="5"/>
    <x v="6"/>
    <x v="2"/>
  </r>
  <r>
    <x v="9"/>
    <x v="17"/>
    <x v="17"/>
    <x v="78"/>
    <x v="281"/>
    <x v="19"/>
    <x v="42"/>
    <x v="196"/>
    <x v="41"/>
    <x v="15"/>
    <x v="140"/>
    <x v="18"/>
    <x v="19"/>
    <x v="2"/>
  </r>
  <r>
    <x v="10"/>
    <x v="13"/>
    <x v="40"/>
    <x v="77"/>
    <x v="235"/>
    <x v="18"/>
    <x v="41"/>
    <x v="162"/>
    <x v="53"/>
    <x v="59"/>
    <x v="120"/>
    <x v="23"/>
    <x v="13"/>
    <x v="2"/>
  </r>
  <r>
    <x v="11"/>
    <x v="13"/>
    <x v="40"/>
    <x v="76"/>
    <x v="12"/>
    <x v="20"/>
    <x v="41"/>
    <x v="185"/>
    <x v="56"/>
    <x v="60"/>
    <x v="130"/>
    <x v="38"/>
    <x v="13"/>
    <x v="2"/>
  </r>
  <r>
    <x v="12"/>
    <x v="34"/>
    <x v="36"/>
    <x v="68"/>
    <x v="270"/>
    <x v="17"/>
    <x v="40"/>
    <x v="143"/>
    <x v="3"/>
    <x v="31"/>
    <x v="133"/>
    <x v="19"/>
    <x v="39"/>
    <x v="2"/>
  </r>
  <r>
    <x v="13"/>
    <x v="8"/>
    <x v="30"/>
    <x v="76"/>
    <x v="20"/>
    <x v="20"/>
    <x v="40"/>
    <x v="190"/>
    <x v="57"/>
    <x v="54"/>
    <x v="137"/>
    <x v="37"/>
    <x v="8"/>
    <x v="2"/>
  </r>
  <r>
    <x v="14"/>
    <x v="34"/>
    <x v="36"/>
    <x v="82"/>
    <x v="214"/>
    <x v="16"/>
    <x v="39"/>
    <x v="135"/>
    <x v="4"/>
    <x v="32"/>
    <x v="125"/>
    <x v="16"/>
    <x v="39"/>
    <x v="2"/>
  </r>
  <r>
    <x v="15"/>
    <x v="37"/>
    <x v="10"/>
    <x v="85"/>
    <x v="19"/>
    <x v="19"/>
    <x v="39"/>
    <x v="177"/>
    <x v="5"/>
    <x v="36"/>
    <x v="124"/>
    <x v="21"/>
    <x v="42"/>
    <x v="2"/>
  </r>
  <r>
    <x v="16"/>
    <x v="0"/>
    <x v="25"/>
    <x v="86"/>
    <x v="23"/>
    <x v="19"/>
    <x v="38"/>
    <x v="177"/>
    <x v="6"/>
    <x v="43"/>
    <x v="124"/>
    <x v="2"/>
    <x v="0"/>
    <x v="2"/>
  </r>
  <r>
    <x v="17"/>
    <x v="1"/>
    <x v="21"/>
    <x v="84"/>
    <x v="200"/>
    <x v="13"/>
    <x v="36"/>
    <x v="64"/>
    <x v="58"/>
    <x v="67"/>
    <x v="128"/>
    <x v="12"/>
    <x v="1"/>
    <x v="2"/>
  </r>
  <r>
    <x v="18"/>
    <x v="38"/>
    <x v="34"/>
    <x v="84"/>
    <x v="201"/>
    <x v="13"/>
    <x v="36"/>
    <x v="60"/>
    <x v="7"/>
    <x v="44"/>
    <x v="128"/>
    <x v="29"/>
    <x v="44"/>
    <x v="2"/>
  </r>
  <r>
    <x v="19"/>
    <x v="9"/>
    <x v="27"/>
    <x v="84"/>
    <x v="202"/>
    <x v="13"/>
    <x v="36"/>
    <x v="68"/>
    <x v="59"/>
    <x v="74"/>
    <x v="128"/>
    <x v="27"/>
    <x v="9"/>
    <x v="2"/>
  </r>
  <r>
    <x v="20"/>
    <x v="27"/>
    <x v="38"/>
    <x v="69"/>
    <x v="231"/>
    <x v="12"/>
    <x v="35"/>
    <x v="73"/>
    <x v="8"/>
    <x v="45"/>
    <x v="128"/>
    <x v="10"/>
    <x v="31"/>
    <x v="2"/>
  </r>
  <r>
    <x v="21"/>
    <x v="38"/>
    <x v="34"/>
    <x v="84"/>
    <x v="8"/>
    <x v="13"/>
    <x v="35"/>
    <x v="76"/>
    <x v="9"/>
    <x v="46"/>
    <x v="127"/>
    <x v="1"/>
    <x v="44"/>
    <x v="2"/>
  </r>
  <r>
    <x v="22"/>
    <x v="40"/>
    <x v="4"/>
    <x v="35"/>
    <x v="206"/>
    <x v="11"/>
    <x v="34"/>
    <x v="57"/>
    <x v="60"/>
    <x v="75"/>
    <x v="140"/>
    <x v="36"/>
    <x v="46"/>
    <x v="2"/>
  </r>
  <r>
    <x v="23"/>
    <x v="7"/>
    <x v="35"/>
    <x v="84"/>
    <x v="11"/>
    <x v="13"/>
    <x v="34"/>
    <x v="122"/>
    <x v="10"/>
    <x v="37"/>
    <x v="127"/>
    <x v="20"/>
    <x v="7"/>
    <x v="2"/>
  </r>
  <r>
    <x v="24"/>
    <x v="30"/>
    <x v="2"/>
    <x v="71"/>
    <x v="227"/>
    <x v="10"/>
    <x v="33"/>
    <x v="29"/>
    <x v="11"/>
    <x v="51"/>
    <x v="129"/>
    <x v="9"/>
    <x v="34"/>
    <x v="2"/>
  </r>
  <r>
    <x v="25"/>
    <x v="15"/>
    <x v="8"/>
    <x v="34"/>
    <x v="181"/>
    <x v="9"/>
    <x v="32"/>
    <x v="23"/>
    <x v="61"/>
    <x v="80"/>
    <x v="139"/>
    <x v="34"/>
    <x v="15"/>
    <x v="2"/>
  </r>
  <r>
    <x v="26"/>
    <x v="27"/>
    <x v="38"/>
    <x v="36"/>
    <x v="182"/>
    <x v="9"/>
    <x v="32"/>
    <x v="17"/>
    <x v="12"/>
    <x v="47"/>
    <x v="121"/>
    <x v="25"/>
    <x v="31"/>
    <x v="2"/>
  </r>
  <r>
    <x v="27"/>
    <x v="40"/>
    <x v="4"/>
    <x v="34"/>
    <x v="229"/>
    <x v="9"/>
    <x v="32"/>
    <x v="69"/>
    <x v="62"/>
    <x v="76"/>
    <x v="139"/>
    <x v="8"/>
    <x v="46"/>
    <x v="2"/>
  </r>
  <r>
    <x v="28"/>
    <x v="9"/>
    <x v="27"/>
    <x v="70"/>
    <x v="152"/>
    <x v="8"/>
    <x v="31"/>
    <x v="14"/>
    <x v="43"/>
    <x v="77"/>
    <x v="124"/>
    <x v="7"/>
    <x v="9"/>
    <x v="2"/>
  </r>
  <r>
    <x v="29"/>
    <x v="38"/>
    <x v="34"/>
    <x v="70"/>
    <x v="153"/>
    <x v="8"/>
    <x v="31"/>
    <x v="13"/>
    <x v="14"/>
    <x v="48"/>
    <x v="124"/>
    <x v="30"/>
    <x v="44"/>
    <x v="2"/>
  </r>
  <r>
    <x v="30"/>
    <x v="39"/>
    <x v="16"/>
    <x v="70"/>
    <x v="154"/>
    <x v="8"/>
    <x v="31"/>
    <x v="21"/>
    <x v="44"/>
    <x v="78"/>
    <x v="124"/>
    <x v="22"/>
    <x v="45"/>
    <x v="2"/>
  </r>
  <r>
    <x v="31"/>
    <x v="1"/>
    <x v="21"/>
    <x v="70"/>
    <x v="156"/>
    <x v="8"/>
    <x v="31"/>
    <x v="16"/>
    <x v="45"/>
    <x v="68"/>
    <x v="124"/>
    <x v="0"/>
    <x v="1"/>
    <x v="2"/>
  </r>
  <r>
    <x v="32"/>
    <x v="15"/>
    <x v="9"/>
    <x v="33"/>
    <x v="181"/>
    <x v="7"/>
    <x v="30"/>
    <x v="23"/>
    <x v="46"/>
    <x v="81"/>
    <x v="139"/>
    <x v="28"/>
    <x v="16"/>
    <x v="2"/>
  </r>
  <r>
    <x v="33"/>
    <x v="8"/>
    <x v="30"/>
    <x v="0"/>
    <x v="115"/>
    <x v="0"/>
    <x v="23"/>
    <x v="0"/>
    <x v="47"/>
    <x v="55"/>
    <x v="134"/>
    <x v="3"/>
    <x v="8"/>
    <x v="2"/>
  </r>
  <r>
    <x v="34"/>
    <x v="15"/>
    <x v="33"/>
    <x v="75"/>
    <x v="29"/>
    <x v="5"/>
    <x v="23"/>
    <x v="12"/>
    <x v="48"/>
    <x v="69"/>
    <x v="113"/>
    <x v="14"/>
    <x v="17"/>
    <x v="2"/>
  </r>
  <r>
    <x v="35"/>
    <x v="34"/>
    <x v="36"/>
    <x v="56"/>
    <x v="52"/>
    <x v="13"/>
    <x v="23"/>
    <x v="181"/>
    <x v="15"/>
    <x v="33"/>
    <x v="116"/>
    <x v="32"/>
    <x v="39"/>
    <x v="2"/>
  </r>
  <r>
    <x v="36"/>
    <x v="8"/>
    <x v="30"/>
    <x v="75"/>
    <x v="30"/>
    <x v="5"/>
    <x v="22"/>
    <x v="15"/>
    <x v="49"/>
    <x v="56"/>
    <x v="113"/>
    <x v="26"/>
    <x v="8"/>
    <x v="2"/>
  </r>
  <r>
    <x v="37"/>
    <x v="8"/>
    <x v="30"/>
    <x v="88"/>
    <x v="95"/>
    <x v="12"/>
    <x v="12"/>
    <x v="221"/>
    <x v="50"/>
    <x v="57"/>
    <x v="134"/>
    <x v="15"/>
    <x v="8"/>
    <x v="2"/>
  </r>
  <r>
    <x v="38"/>
    <x v="15"/>
    <x v="33"/>
    <x v="88"/>
    <x v="96"/>
    <x v="12"/>
    <x v="12"/>
    <x v="207"/>
    <x v="51"/>
    <x v="70"/>
    <x v="134"/>
    <x v="35"/>
    <x v="17"/>
    <x v="2"/>
  </r>
  <r>
    <x v="39"/>
    <x v="4"/>
    <x v="1"/>
    <x v="74"/>
    <x v="98"/>
    <x v="20"/>
    <x v="11"/>
    <x v="238"/>
    <x v="16"/>
    <x v="9"/>
    <x v="122"/>
    <x v="13"/>
    <x v="4"/>
    <x v="2"/>
  </r>
  <r>
    <x v="40"/>
    <x v="13"/>
    <x v="40"/>
    <x v="83"/>
    <x v="101"/>
    <x v="23"/>
    <x v="10"/>
    <x v="241"/>
    <x v="52"/>
    <x v="61"/>
    <x v="115"/>
    <x v="6"/>
    <x v="13"/>
    <x v="2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257">
  <r>
    <x v="0"/>
    <x v="40"/>
    <x v="11"/>
    <x v="144"/>
    <x v="94"/>
    <x v="22"/>
    <x v="42"/>
    <x v="82"/>
    <x v="2"/>
    <x v="2"/>
    <x v="10"/>
    <x v="48"/>
    <x v="44"/>
    <x v="2"/>
  </r>
  <r>
    <x v="1"/>
    <x v="12"/>
    <x v="11"/>
    <x v="144"/>
    <x v="102"/>
    <x v="22"/>
    <x v="42"/>
    <x v="83"/>
    <x v="13"/>
    <x v="3"/>
    <x v="10"/>
    <x v="15"/>
    <x v="12"/>
    <x v="2"/>
  </r>
  <r>
    <x v="2"/>
    <x v="2"/>
    <x v="41"/>
    <x v="135"/>
    <x v="115"/>
    <x v="22"/>
    <x v="42"/>
    <x v="93"/>
    <x v="24"/>
    <x v="21"/>
    <x v="42"/>
    <x v="61"/>
    <x v="2"/>
    <x v="2"/>
  </r>
  <r>
    <x v="3"/>
    <x v="2"/>
    <x v="41"/>
    <x v="135"/>
    <x v="117"/>
    <x v="22"/>
    <x v="42"/>
    <x v="93"/>
    <x v="35"/>
    <x v="28"/>
    <x v="42"/>
    <x v="60"/>
    <x v="2"/>
    <x v="2"/>
  </r>
  <r>
    <x v="4"/>
    <x v="17"/>
    <x v="15"/>
    <x v="134"/>
    <x v="120"/>
    <x v="22"/>
    <x v="42"/>
    <x v="83"/>
    <x v="37"/>
    <x v="12"/>
    <x v="23"/>
    <x v="54"/>
    <x v="18"/>
    <x v="2"/>
  </r>
  <r>
    <x v="5"/>
    <x v="17"/>
    <x v="15"/>
    <x v="135"/>
    <x v="121"/>
    <x v="22"/>
    <x v="42"/>
    <x v="98"/>
    <x v="38"/>
    <x v="13"/>
    <x v="32"/>
    <x v="3"/>
    <x v="18"/>
    <x v="2"/>
  </r>
  <r>
    <x v="6"/>
    <x v="17"/>
    <x v="15"/>
    <x v="134"/>
    <x v="122"/>
    <x v="22"/>
    <x v="42"/>
    <x v="87"/>
    <x v="39"/>
    <x v="14"/>
    <x v="36"/>
    <x v="2"/>
    <x v="18"/>
    <x v="2"/>
  </r>
  <r>
    <x v="7"/>
    <x v="31"/>
    <x v="10"/>
    <x v="143"/>
    <x v="0"/>
    <x v="20"/>
    <x v="40"/>
    <x v="69"/>
    <x v="0"/>
    <x v="0"/>
    <x v="39"/>
    <x v="35"/>
    <x v="33"/>
    <x v="2"/>
  </r>
  <r>
    <x v="8"/>
    <x v="17"/>
    <x v="15"/>
    <x v="145"/>
    <x v="97"/>
    <x v="20"/>
    <x v="40"/>
    <x v="78"/>
    <x v="40"/>
    <x v="15"/>
    <x v="3"/>
    <x v="20"/>
    <x v="18"/>
    <x v="2"/>
  </r>
  <r>
    <x v="9"/>
    <x v="34"/>
    <x v="33"/>
    <x v="133"/>
    <x v="105"/>
    <x v="20"/>
    <x v="40"/>
    <x v="65"/>
    <x v="41"/>
    <x v="29"/>
    <x v="34"/>
    <x v="17"/>
    <x v="37"/>
    <x v="2"/>
  </r>
  <r>
    <x v="10"/>
    <x v="2"/>
    <x v="41"/>
    <x v="65"/>
    <x v="112"/>
    <x v="20"/>
    <x v="40"/>
    <x v="91"/>
    <x v="3"/>
    <x v="30"/>
    <x v="41"/>
    <x v="57"/>
    <x v="2"/>
    <x v="2"/>
  </r>
  <r>
    <x v="11"/>
    <x v="2"/>
    <x v="41"/>
    <x v="138"/>
    <x v="123"/>
    <x v="21"/>
    <x v="40"/>
    <x v="101"/>
    <x v="4"/>
    <x v="31"/>
    <x v="16"/>
    <x v="4"/>
    <x v="2"/>
    <x v="2"/>
  </r>
  <r>
    <x v="12"/>
    <x v="17"/>
    <x v="15"/>
    <x v="146"/>
    <x v="127"/>
    <x v="22"/>
    <x v="40"/>
    <x v="108"/>
    <x v="5"/>
    <x v="16"/>
    <x v="6"/>
    <x v="30"/>
    <x v="18"/>
    <x v="2"/>
  </r>
  <r>
    <x v="13"/>
    <x v="25"/>
    <x v="26"/>
    <x v="75"/>
    <x v="95"/>
    <x v="19"/>
    <x v="39"/>
    <x v="50"/>
    <x v="6"/>
    <x v="17"/>
    <x v="29"/>
    <x v="29"/>
    <x v="27"/>
    <x v="2"/>
  </r>
  <r>
    <x v="14"/>
    <x v="34"/>
    <x v="33"/>
    <x v="62"/>
    <x v="98"/>
    <x v="19"/>
    <x v="39"/>
    <x v="45"/>
    <x v="7"/>
    <x v="32"/>
    <x v="22"/>
    <x v="22"/>
    <x v="37"/>
    <x v="2"/>
  </r>
  <r>
    <x v="15"/>
    <x v="18"/>
    <x v="34"/>
    <x v="75"/>
    <x v="101"/>
    <x v="19"/>
    <x v="39"/>
    <x v="49"/>
    <x v="8"/>
    <x v="4"/>
    <x v="29"/>
    <x v="19"/>
    <x v="19"/>
    <x v="2"/>
  </r>
  <r>
    <x v="16"/>
    <x v="4"/>
    <x v="1"/>
    <x v="75"/>
    <x v="103"/>
    <x v="19"/>
    <x v="39"/>
    <x v="47"/>
    <x v="9"/>
    <x v="8"/>
    <x v="29"/>
    <x v="27"/>
    <x v="4"/>
    <x v="2"/>
  </r>
  <r>
    <x v="17"/>
    <x v="5"/>
    <x v="25"/>
    <x v="62"/>
    <x v="109"/>
    <x v="19"/>
    <x v="39"/>
    <x v="47"/>
    <x v="10"/>
    <x v="6"/>
    <x v="7"/>
    <x v="24"/>
    <x v="5"/>
    <x v="2"/>
  </r>
  <r>
    <x v="18"/>
    <x v="13"/>
    <x v="37"/>
    <x v="62"/>
    <x v="110"/>
    <x v="19"/>
    <x v="39"/>
    <x v="53"/>
    <x v="42"/>
    <x v="58"/>
    <x v="19"/>
    <x v="44"/>
    <x v="13"/>
    <x v="2"/>
  </r>
  <r>
    <x v="19"/>
    <x v="28"/>
    <x v="11"/>
    <x v="0"/>
    <x v="111"/>
    <x v="19"/>
    <x v="39"/>
    <x v="42"/>
    <x v="11"/>
    <x v="33"/>
    <x v="36"/>
    <x v="46"/>
    <x v="30"/>
    <x v="2"/>
  </r>
  <r>
    <x v="20"/>
    <x v="2"/>
    <x v="41"/>
    <x v="66"/>
    <x v="113"/>
    <x v="19"/>
    <x v="39"/>
    <x v="89"/>
    <x v="12"/>
    <x v="34"/>
    <x v="41"/>
    <x v="58"/>
    <x v="2"/>
    <x v="2"/>
  </r>
  <r>
    <x v="21"/>
    <x v="4"/>
    <x v="1"/>
    <x v="129"/>
    <x v="106"/>
    <x v="18"/>
    <x v="38"/>
    <x v="43"/>
    <x v="14"/>
    <x v="9"/>
    <x v="26"/>
    <x v="52"/>
    <x v="4"/>
    <x v="2"/>
  </r>
  <r>
    <x v="22"/>
    <x v="6"/>
    <x v="0"/>
    <x v="129"/>
    <x v="113"/>
    <x v="18"/>
    <x v="38"/>
    <x v="38"/>
    <x v="15"/>
    <x v="35"/>
    <x v="27"/>
    <x v="18"/>
    <x v="6"/>
    <x v="2"/>
  </r>
  <r>
    <x v="23"/>
    <x v="4"/>
    <x v="1"/>
    <x v="132"/>
    <x v="89"/>
    <x v="17"/>
    <x v="37"/>
    <x v="27"/>
    <x v="16"/>
    <x v="10"/>
    <x v="22"/>
    <x v="25"/>
    <x v="4"/>
    <x v="2"/>
  </r>
  <r>
    <x v="24"/>
    <x v="34"/>
    <x v="33"/>
    <x v="13"/>
    <x v="91"/>
    <x v="17"/>
    <x v="37"/>
    <x v="33"/>
    <x v="17"/>
    <x v="22"/>
    <x v="6"/>
    <x v="34"/>
    <x v="37"/>
    <x v="2"/>
  </r>
  <r>
    <x v="25"/>
    <x v="15"/>
    <x v="30"/>
    <x v="130"/>
    <x v="99"/>
    <x v="17"/>
    <x v="37"/>
    <x v="31"/>
    <x v="53"/>
    <x v="67"/>
    <x v="33"/>
    <x v="0"/>
    <x v="16"/>
    <x v="2"/>
  </r>
  <r>
    <x v="26"/>
    <x v="8"/>
    <x v="27"/>
    <x v="130"/>
    <x v="99"/>
    <x v="17"/>
    <x v="37"/>
    <x v="37"/>
    <x v="56"/>
    <x v="54"/>
    <x v="33"/>
    <x v="23"/>
    <x v="8"/>
    <x v="2"/>
  </r>
  <r>
    <x v="27"/>
    <x v="0"/>
    <x v="22"/>
    <x v="131"/>
    <x v="100"/>
    <x v="16"/>
    <x v="36"/>
    <x v="23"/>
    <x v="18"/>
    <x v="43"/>
    <x v="3"/>
    <x v="45"/>
    <x v="0"/>
    <x v="2"/>
  </r>
  <r>
    <x v="28"/>
    <x v="6"/>
    <x v="0"/>
    <x v="128"/>
    <x v="108"/>
    <x v="16"/>
    <x v="36"/>
    <x v="37"/>
    <x v="19"/>
    <x v="23"/>
    <x v="22"/>
    <x v="7"/>
    <x v="6"/>
    <x v="2"/>
  </r>
  <r>
    <x v="29"/>
    <x v="37"/>
    <x v="8"/>
    <x v="131"/>
    <x v="116"/>
    <x v="16"/>
    <x v="36"/>
    <x v="25"/>
    <x v="20"/>
    <x v="36"/>
    <x v="0"/>
    <x v="41"/>
    <x v="40"/>
    <x v="2"/>
  </r>
  <r>
    <x v="30"/>
    <x v="24"/>
    <x v="4"/>
    <x v="74"/>
    <x v="92"/>
    <x v="15"/>
    <x v="35"/>
    <x v="20"/>
    <x v="21"/>
    <x v="18"/>
    <x v="4"/>
    <x v="39"/>
    <x v="26"/>
    <x v="2"/>
  </r>
  <r>
    <x v="31"/>
    <x v="8"/>
    <x v="27"/>
    <x v="124"/>
    <x v="114"/>
    <x v="15"/>
    <x v="35"/>
    <x v="42"/>
    <x v="57"/>
    <x v="55"/>
    <x v="28"/>
    <x v="43"/>
    <x v="8"/>
    <x v="2"/>
  </r>
  <r>
    <x v="32"/>
    <x v="28"/>
    <x v="11"/>
    <x v="136"/>
    <x v="124"/>
    <x v="16"/>
    <x v="35"/>
    <x v="17"/>
    <x v="22"/>
    <x v="24"/>
    <x v="37"/>
    <x v="42"/>
    <x v="30"/>
    <x v="2"/>
  </r>
  <r>
    <x v="32"/>
    <x v="10"/>
    <x v="11"/>
    <x v="137"/>
    <x v="126"/>
    <x v="16"/>
    <x v="35"/>
    <x v="17"/>
    <x v="23"/>
    <x v="25"/>
    <x v="38"/>
    <x v="43"/>
    <x v="10"/>
    <x v="2"/>
  </r>
  <r>
    <x v="33"/>
    <x v="15"/>
    <x v="30"/>
    <x v="125"/>
    <x v="107"/>
    <x v="14"/>
    <x v="34"/>
    <x v="27"/>
    <x v="58"/>
    <x v="68"/>
    <x v="21"/>
    <x v="37"/>
    <x v="16"/>
    <x v="2"/>
  </r>
  <r>
    <x v="34"/>
    <x v="33"/>
    <x v="16"/>
    <x v="140"/>
    <x v="114"/>
    <x v="14"/>
    <x v="34"/>
    <x v="16"/>
    <x v="59"/>
    <x v="69"/>
    <x v="23"/>
    <x v="31"/>
    <x v="35"/>
    <x v="2"/>
  </r>
  <r>
    <x v="35"/>
    <x v="27"/>
    <x v="35"/>
    <x v="12"/>
    <x v="119"/>
    <x v="13"/>
    <x v="33"/>
    <x v="10"/>
    <x v="23"/>
    <x v="44"/>
    <x v="19"/>
    <x v="11"/>
    <x v="29"/>
    <x v="2"/>
  </r>
  <r>
    <x v="36"/>
    <x v="22"/>
    <x v="6"/>
    <x v="61"/>
    <x v="133"/>
    <x v="17"/>
    <x v="33"/>
    <x v="62"/>
    <x v="25"/>
    <x v="11"/>
    <x v="41"/>
    <x v="59"/>
    <x v="23"/>
    <x v="2"/>
  </r>
  <r>
    <x v="37"/>
    <x v="11"/>
    <x v="40"/>
    <x v="139"/>
    <x v="118"/>
    <x v="12"/>
    <x v="32"/>
    <x v="13"/>
    <x v="26"/>
    <x v="42"/>
    <x v="12"/>
    <x v="9"/>
    <x v="11"/>
    <x v="2"/>
  </r>
  <r>
    <x v="38"/>
    <x v="26"/>
    <x v="5"/>
    <x v="3"/>
    <x v="88"/>
    <x v="11"/>
    <x v="31"/>
    <x v="9"/>
    <x v="60"/>
    <x v="59"/>
    <x v="39"/>
    <x v="6"/>
    <x v="28"/>
    <x v="2"/>
  </r>
  <r>
    <x v="39"/>
    <x v="38"/>
    <x v="31"/>
    <x v="141"/>
    <x v="90"/>
    <x v="10"/>
    <x v="30"/>
    <x v="5"/>
    <x v="27"/>
    <x v="45"/>
    <x v="20"/>
    <x v="26"/>
    <x v="42"/>
    <x v="2"/>
  </r>
  <r>
    <x v="40"/>
    <x v="7"/>
    <x v="32"/>
    <x v="141"/>
    <x v="96"/>
    <x v="10"/>
    <x v="30"/>
    <x v="3"/>
    <x v="28"/>
    <x v="37"/>
    <x v="20"/>
    <x v="47"/>
    <x v="7"/>
    <x v="2"/>
  </r>
  <r>
    <x v="41"/>
    <x v="15"/>
    <x v="7"/>
    <x v="141"/>
    <x v="104"/>
    <x v="10"/>
    <x v="30"/>
    <x v="6"/>
    <x v="61"/>
    <x v="79"/>
    <x v="12"/>
    <x v="5"/>
    <x v="15"/>
    <x v="2"/>
  </r>
  <r>
    <x v="42"/>
    <x v="30"/>
    <x v="2"/>
    <x v="76"/>
    <x v="87"/>
    <x v="9"/>
    <x v="29"/>
    <x v="2"/>
    <x v="29"/>
    <x v="51"/>
    <x v="18"/>
    <x v="32"/>
    <x v="32"/>
    <x v="2"/>
  </r>
  <r>
    <x v="43"/>
    <x v="6"/>
    <x v="0"/>
    <x v="2"/>
    <x v="125"/>
    <x v="11"/>
    <x v="29"/>
    <x v="16"/>
    <x v="30"/>
    <x v="25"/>
    <x v="11"/>
    <x v="33"/>
    <x v="6"/>
    <x v="2"/>
  </r>
  <r>
    <x v="44"/>
    <x v="20"/>
    <x v="19"/>
    <x v="1"/>
    <x v="141"/>
    <x v="17"/>
    <x v="29"/>
    <x v="54"/>
    <x v="62"/>
    <x v="64"/>
    <x v="22"/>
    <x v="1"/>
    <x v="21"/>
    <x v="2"/>
  </r>
  <r>
    <x v="45"/>
    <x v="41"/>
    <x v="41"/>
    <x v="14"/>
    <x v="213"/>
    <x v="22"/>
    <x v="24"/>
    <x v="115"/>
    <x v="43"/>
    <x v="70"/>
    <x v="35"/>
    <x v="53"/>
    <x v="45"/>
    <x v="2"/>
  </r>
  <r>
    <x v="46"/>
    <x v="25"/>
    <x v="26"/>
    <x v="75"/>
    <x v="207"/>
    <x v="19"/>
    <x v="22"/>
    <x v="63"/>
    <x v="31"/>
    <x v="19"/>
    <x v="9"/>
    <x v="51"/>
    <x v="27"/>
    <x v="2"/>
  </r>
  <r>
    <x v="47"/>
    <x v="13"/>
    <x v="37"/>
    <x v="75"/>
    <x v="208"/>
    <x v="19"/>
    <x v="21"/>
    <x v="68"/>
    <x v="44"/>
    <x v="60"/>
    <x v="9"/>
    <x v="10"/>
    <x v="13"/>
    <x v="2"/>
  </r>
  <r>
    <x v="48"/>
    <x v="16"/>
    <x v="23"/>
    <x v="75"/>
    <x v="209"/>
    <x v="19"/>
    <x v="21"/>
    <x v="57"/>
    <x v="32"/>
    <x v="26"/>
    <x v="9"/>
    <x v="40"/>
    <x v="17"/>
    <x v="2"/>
  </r>
  <r>
    <x v="49"/>
    <x v="3"/>
    <x v="36"/>
    <x v="75"/>
    <x v="210"/>
    <x v="19"/>
    <x v="21"/>
    <x v="58"/>
    <x v="33"/>
    <x v="5"/>
    <x v="9"/>
    <x v="56"/>
    <x v="3"/>
    <x v="2"/>
  </r>
  <r>
    <x v="50"/>
    <x v="29"/>
    <x v="38"/>
    <x v="75"/>
    <x v="211"/>
    <x v="19"/>
    <x v="21"/>
    <x v="59"/>
    <x v="45"/>
    <x v="53"/>
    <x v="9"/>
    <x v="28"/>
    <x v="31"/>
    <x v="2"/>
  </r>
  <r>
    <x v="51"/>
    <x v="41"/>
    <x v="41"/>
    <x v="75"/>
    <x v="214"/>
    <x v="19"/>
    <x v="21"/>
    <x v="44"/>
    <x v="46"/>
    <x v="71"/>
    <x v="9"/>
    <x v="36"/>
    <x v="45"/>
    <x v="2"/>
  </r>
  <r>
    <x v="52"/>
    <x v="35"/>
    <x v="12"/>
    <x v="75"/>
    <x v="216"/>
    <x v="19"/>
    <x v="21"/>
    <x v="48"/>
    <x v="47"/>
    <x v="63"/>
    <x v="9"/>
    <x v="55"/>
    <x v="38"/>
    <x v="2"/>
  </r>
  <r>
    <x v="53"/>
    <x v="15"/>
    <x v="30"/>
    <x v="126"/>
    <x v="2"/>
    <x v="16"/>
    <x v="19"/>
    <x v="39"/>
    <x v="48"/>
    <x v="72"/>
    <x v="5"/>
    <x v="16"/>
    <x v="16"/>
    <x v="2"/>
  </r>
  <r>
    <x v="54"/>
    <x v="8"/>
    <x v="27"/>
    <x v="126"/>
    <x v="3"/>
    <x v="16"/>
    <x v="19"/>
    <x v="31"/>
    <x v="50"/>
    <x v="56"/>
    <x v="6"/>
    <x v="12"/>
    <x v="8"/>
    <x v="2"/>
  </r>
  <r>
    <x v="55"/>
    <x v="32"/>
    <x v="39"/>
    <x v="126"/>
    <x v="3"/>
    <x v="16"/>
    <x v="19"/>
    <x v="41"/>
    <x v="49"/>
    <x v="65"/>
    <x v="5"/>
    <x v="38"/>
    <x v="34"/>
    <x v="2"/>
  </r>
  <r>
    <x v="56"/>
    <x v="36"/>
    <x v="3"/>
    <x v="126"/>
    <x v="4"/>
    <x v="16"/>
    <x v="19"/>
    <x v="39"/>
    <x v="34"/>
    <x v="7"/>
    <x v="5"/>
    <x v="14"/>
    <x v="39"/>
    <x v="2"/>
  </r>
  <r>
    <x v="57"/>
    <x v="14"/>
    <x v="20"/>
    <x v="126"/>
    <x v="6"/>
    <x v="16"/>
    <x v="19"/>
    <x v="40"/>
    <x v="51"/>
    <x v="61"/>
    <x v="5"/>
    <x v="50"/>
    <x v="14"/>
    <x v="2"/>
  </r>
  <r>
    <x v="58"/>
    <x v="26"/>
    <x v="5"/>
    <x v="140"/>
    <x v="4"/>
    <x v="14"/>
    <x v="17"/>
    <x v="22"/>
    <x v="52"/>
    <x v="62"/>
    <x v="5"/>
    <x v="49"/>
    <x v="28"/>
    <x v="2"/>
  </r>
  <r>
    <x v="59"/>
    <x v="15"/>
    <x v="30"/>
    <x v="127"/>
    <x v="17"/>
    <x v="17"/>
    <x v="17"/>
    <x v="88"/>
    <x v="54"/>
    <x v="73"/>
    <x v="29"/>
    <x v="13"/>
    <x v="16"/>
    <x v="2"/>
  </r>
  <r>
    <x v="60"/>
    <x v="8"/>
    <x v="27"/>
    <x v="127"/>
    <x v="18"/>
    <x v="17"/>
    <x v="17"/>
    <x v="120"/>
    <x v="55"/>
    <x v="57"/>
    <x v="29"/>
    <x v="8"/>
    <x v="8"/>
    <x v="2"/>
  </r>
  <r>
    <x v="61"/>
    <x v="34"/>
    <x v="33"/>
    <x v="3"/>
    <x v="221"/>
    <x v="11"/>
    <x v="16"/>
    <x v="8"/>
    <x v="36"/>
    <x v="27"/>
    <x v="2"/>
    <x v="21"/>
    <x v="37"/>
    <x v="2"/>
  </r>
  <r>
    <x v="0"/>
    <x v="40"/>
    <x v="11"/>
    <x v="80"/>
    <x v="146"/>
    <x v="22"/>
    <x v="42"/>
    <x v="169"/>
    <x v="2"/>
    <x v="2"/>
    <x v="1"/>
    <x v="49"/>
    <x v="44"/>
    <x v="1"/>
  </r>
  <r>
    <x v="1"/>
    <x v="31"/>
    <x v="10"/>
    <x v="80"/>
    <x v="165"/>
    <x v="22"/>
    <x v="42"/>
    <x v="161"/>
    <x v="0"/>
    <x v="0"/>
    <x v="23"/>
    <x v="5"/>
    <x v="33"/>
    <x v="1"/>
  </r>
  <r>
    <x v="2"/>
    <x v="2"/>
    <x v="41"/>
    <x v="41"/>
    <x v="166"/>
    <x v="22"/>
    <x v="42"/>
    <x v="163"/>
    <x v="13"/>
    <x v="21"/>
    <x v="37"/>
    <x v="33"/>
    <x v="2"/>
    <x v="1"/>
  </r>
  <r>
    <x v="3"/>
    <x v="17"/>
    <x v="15"/>
    <x v="80"/>
    <x v="171"/>
    <x v="22"/>
    <x v="42"/>
    <x v="160"/>
    <x v="24"/>
    <x v="12"/>
    <x v="14"/>
    <x v="6"/>
    <x v="18"/>
    <x v="1"/>
  </r>
  <r>
    <x v="4"/>
    <x v="34"/>
    <x v="33"/>
    <x v="83"/>
    <x v="180"/>
    <x v="22"/>
    <x v="42"/>
    <x v="167"/>
    <x v="35"/>
    <x v="28"/>
    <x v="37"/>
    <x v="41"/>
    <x v="37"/>
    <x v="1"/>
  </r>
  <r>
    <x v="5"/>
    <x v="12"/>
    <x v="11"/>
    <x v="80"/>
    <x v="183"/>
    <x v="22"/>
    <x v="42"/>
    <x v="161"/>
    <x v="37"/>
    <x v="3"/>
    <x v="7"/>
    <x v="21"/>
    <x v="12"/>
    <x v="1"/>
  </r>
  <r>
    <x v="6"/>
    <x v="17"/>
    <x v="15"/>
    <x v="80"/>
    <x v="191"/>
    <x v="22"/>
    <x v="42"/>
    <x v="162"/>
    <x v="38"/>
    <x v="13"/>
    <x v="7"/>
    <x v="26"/>
    <x v="18"/>
    <x v="1"/>
  </r>
  <r>
    <x v="7"/>
    <x v="13"/>
    <x v="37"/>
    <x v="80"/>
    <x v="223"/>
    <x v="22"/>
    <x v="42"/>
    <x v="176"/>
    <x v="42"/>
    <x v="58"/>
    <x v="30"/>
    <x v="11"/>
    <x v="13"/>
    <x v="1"/>
  </r>
  <r>
    <x v="8"/>
    <x v="4"/>
    <x v="1"/>
    <x v="80"/>
    <x v="231"/>
    <x v="22"/>
    <x v="42"/>
    <x v="165"/>
    <x v="39"/>
    <x v="8"/>
    <x v="40"/>
    <x v="13"/>
    <x v="4"/>
    <x v="1"/>
  </r>
  <r>
    <x v="9"/>
    <x v="6"/>
    <x v="0"/>
    <x v="79"/>
    <x v="230"/>
    <x v="21"/>
    <x v="41"/>
    <x v="155"/>
    <x v="40"/>
    <x v="29"/>
    <x v="24"/>
    <x v="44"/>
    <x v="6"/>
    <x v="1"/>
  </r>
  <r>
    <x v="10"/>
    <x v="31"/>
    <x v="10"/>
    <x v="80"/>
    <x v="8"/>
    <x v="22"/>
    <x v="41"/>
    <x v="164"/>
    <x v="1"/>
    <x v="1"/>
    <x v="2"/>
    <x v="48"/>
    <x v="33"/>
    <x v="1"/>
  </r>
  <r>
    <x v="11"/>
    <x v="25"/>
    <x v="26"/>
    <x v="81"/>
    <x v="195"/>
    <x v="20"/>
    <x v="40"/>
    <x v="172"/>
    <x v="41"/>
    <x v="17"/>
    <x v="36"/>
    <x v="47"/>
    <x v="27"/>
    <x v="1"/>
  </r>
  <r>
    <x v="12"/>
    <x v="37"/>
    <x v="8"/>
    <x v="81"/>
    <x v="224"/>
    <x v="20"/>
    <x v="40"/>
    <x v="145"/>
    <x v="3"/>
    <x v="36"/>
    <x v="29"/>
    <x v="1"/>
    <x v="40"/>
    <x v="1"/>
  </r>
  <r>
    <x v="13"/>
    <x v="15"/>
    <x v="30"/>
    <x v="81"/>
    <x v="227"/>
    <x v="20"/>
    <x v="40"/>
    <x v="150"/>
    <x v="53"/>
    <x v="67"/>
    <x v="37"/>
    <x v="29"/>
    <x v="16"/>
    <x v="1"/>
  </r>
  <r>
    <x v="14"/>
    <x v="8"/>
    <x v="27"/>
    <x v="81"/>
    <x v="228"/>
    <x v="20"/>
    <x v="40"/>
    <x v="154"/>
    <x v="56"/>
    <x v="54"/>
    <x v="37"/>
    <x v="27"/>
    <x v="8"/>
    <x v="1"/>
  </r>
  <r>
    <x v="15"/>
    <x v="28"/>
    <x v="11"/>
    <x v="82"/>
    <x v="1"/>
    <x v="20"/>
    <x v="39"/>
    <x v="150"/>
    <x v="4"/>
    <x v="30"/>
    <x v="39"/>
    <x v="14"/>
    <x v="30"/>
    <x v="1"/>
  </r>
  <r>
    <x v="16"/>
    <x v="0"/>
    <x v="22"/>
    <x v="86"/>
    <x v="164"/>
    <x v="18"/>
    <x v="38"/>
    <x v="100"/>
    <x v="5"/>
    <x v="43"/>
    <x v="21"/>
    <x v="2"/>
    <x v="0"/>
    <x v="1"/>
  </r>
  <r>
    <x v="17"/>
    <x v="6"/>
    <x v="0"/>
    <x v="86"/>
    <x v="174"/>
    <x v="18"/>
    <x v="38"/>
    <x v="107"/>
    <x v="6"/>
    <x v="31"/>
    <x v="19"/>
    <x v="24"/>
    <x v="6"/>
    <x v="1"/>
  </r>
  <r>
    <x v="18"/>
    <x v="28"/>
    <x v="11"/>
    <x v="86"/>
    <x v="179"/>
    <x v="18"/>
    <x v="38"/>
    <x v="104"/>
    <x v="7"/>
    <x v="32"/>
    <x v="1"/>
    <x v="8"/>
    <x v="30"/>
    <x v="1"/>
  </r>
  <r>
    <x v="19"/>
    <x v="4"/>
    <x v="1"/>
    <x v="86"/>
    <x v="182"/>
    <x v="18"/>
    <x v="38"/>
    <x v="118"/>
    <x v="8"/>
    <x v="9"/>
    <x v="31"/>
    <x v="22"/>
    <x v="4"/>
    <x v="1"/>
  </r>
  <r>
    <x v="20"/>
    <x v="24"/>
    <x v="4"/>
    <x v="37"/>
    <x v="189"/>
    <x v="18"/>
    <x v="38"/>
    <x v="142"/>
    <x v="9"/>
    <x v="18"/>
    <x v="32"/>
    <x v="52"/>
    <x v="26"/>
    <x v="1"/>
  </r>
  <r>
    <x v="21"/>
    <x v="37"/>
    <x v="8"/>
    <x v="86"/>
    <x v="226"/>
    <x v="18"/>
    <x v="38"/>
    <x v="128"/>
    <x v="10"/>
    <x v="37"/>
    <x v="9"/>
    <x v="46"/>
    <x v="40"/>
    <x v="1"/>
  </r>
  <r>
    <x v="22"/>
    <x v="2"/>
    <x v="41"/>
    <x v="44"/>
    <x v="167"/>
    <x v="17"/>
    <x v="37"/>
    <x v="166"/>
    <x v="11"/>
    <x v="33"/>
    <x v="37"/>
    <x v="30"/>
    <x v="2"/>
    <x v="1"/>
  </r>
  <r>
    <x v="23"/>
    <x v="0"/>
    <x v="22"/>
    <x v="85"/>
    <x v="229"/>
    <x v="17"/>
    <x v="37"/>
    <x v="96"/>
    <x v="12"/>
    <x v="44"/>
    <x v="13"/>
    <x v="18"/>
    <x v="0"/>
    <x v="1"/>
  </r>
  <r>
    <x v="24"/>
    <x v="28"/>
    <x v="11"/>
    <x v="88"/>
    <x v="200"/>
    <x v="16"/>
    <x v="36"/>
    <x v="83"/>
    <x v="14"/>
    <x v="34"/>
    <x v="7"/>
    <x v="19"/>
    <x v="30"/>
    <x v="1"/>
  </r>
  <r>
    <x v="24"/>
    <x v="10"/>
    <x v="11"/>
    <x v="88"/>
    <x v="200"/>
    <x v="16"/>
    <x v="36"/>
    <x v="83"/>
    <x v="14"/>
    <x v="34"/>
    <x v="7"/>
    <x v="19"/>
    <x v="10"/>
    <x v="1"/>
  </r>
  <r>
    <x v="25"/>
    <x v="2"/>
    <x v="41"/>
    <x v="40"/>
    <x v="9"/>
    <x v="18"/>
    <x v="36"/>
    <x v="188"/>
    <x v="15"/>
    <x v="35"/>
    <x v="26"/>
    <x v="15"/>
    <x v="2"/>
    <x v="1"/>
  </r>
  <r>
    <x v="26"/>
    <x v="34"/>
    <x v="33"/>
    <x v="87"/>
    <x v="196"/>
    <x v="15"/>
    <x v="35"/>
    <x v="114"/>
    <x v="16"/>
    <x v="22"/>
    <x v="30"/>
    <x v="37"/>
    <x v="37"/>
    <x v="1"/>
  </r>
  <r>
    <x v="27"/>
    <x v="27"/>
    <x v="35"/>
    <x v="38"/>
    <x v="198"/>
    <x v="15"/>
    <x v="35"/>
    <x v="75"/>
    <x v="17"/>
    <x v="45"/>
    <x v="40"/>
    <x v="31"/>
    <x v="29"/>
    <x v="1"/>
  </r>
  <r>
    <x v="28"/>
    <x v="0"/>
    <x v="22"/>
    <x v="43"/>
    <x v="219"/>
    <x v="15"/>
    <x v="35"/>
    <x v="130"/>
    <x v="18"/>
    <x v="46"/>
    <x v="8"/>
    <x v="25"/>
    <x v="0"/>
    <x v="1"/>
  </r>
  <r>
    <x v="29"/>
    <x v="33"/>
    <x v="16"/>
    <x v="36"/>
    <x v="129"/>
    <x v="13"/>
    <x v="33"/>
    <x v="28"/>
    <x v="57"/>
    <x v="68"/>
    <x v="37"/>
    <x v="38"/>
    <x v="35"/>
    <x v="1"/>
  </r>
  <r>
    <x v="30"/>
    <x v="11"/>
    <x v="40"/>
    <x v="36"/>
    <x v="145"/>
    <x v="13"/>
    <x v="33"/>
    <x v="34"/>
    <x v="19"/>
    <x v="42"/>
    <x v="15"/>
    <x v="42"/>
    <x v="11"/>
    <x v="1"/>
  </r>
  <r>
    <x v="31"/>
    <x v="26"/>
    <x v="5"/>
    <x v="36"/>
    <x v="156"/>
    <x v="13"/>
    <x v="33"/>
    <x v="46"/>
    <x v="58"/>
    <x v="59"/>
    <x v="32"/>
    <x v="34"/>
    <x v="28"/>
    <x v="1"/>
  </r>
  <r>
    <x v="32"/>
    <x v="38"/>
    <x v="31"/>
    <x v="36"/>
    <x v="173"/>
    <x v="13"/>
    <x v="33"/>
    <x v="50"/>
    <x v="20"/>
    <x v="47"/>
    <x v="32"/>
    <x v="12"/>
    <x v="42"/>
    <x v="1"/>
  </r>
  <r>
    <x v="33"/>
    <x v="7"/>
    <x v="32"/>
    <x v="36"/>
    <x v="175"/>
    <x v="13"/>
    <x v="33"/>
    <x v="58"/>
    <x v="21"/>
    <x v="38"/>
    <x v="32"/>
    <x v="36"/>
    <x v="7"/>
    <x v="1"/>
  </r>
  <r>
    <x v="34"/>
    <x v="30"/>
    <x v="2"/>
    <x v="36"/>
    <x v="203"/>
    <x v="13"/>
    <x v="33"/>
    <x v="36"/>
    <x v="22"/>
    <x v="51"/>
    <x v="40"/>
    <x v="9"/>
    <x v="32"/>
    <x v="1"/>
  </r>
  <r>
    <x v="35"/>
    <x v="37"/>
    <x v="8"/>
    <x v="42"/>
    <x v="206"/>
    <x v="13"/>
    <x v="33"/>
    <x v="117"/>
    <x v="23"/>
    <x v="39"/>
    <x v="8"/>
    <x v="16"/>
    <x v="40"/>
    <x v="1"/>
  </r>
  <r>
    <x v="36"/>
    <x v="27"/>
    <x v="35"/>
    <x v="78"/>
    <x v="199"/>
    <x v="12"/>
    <x v="32"/>
    <x v="18"/>
    <x v="25"/>
    <x v="48"/>
    <x v="33"/>
    <x v="51"/>
    <x v="29"/>
    <x v="1"/>
  </r>
  <r>
    <x v="37"/>
    <x v="0"/>
    <x v="22"/>
    <x v="77"/>
    <x v="5"/>
    <x v="13"/>
    <x v="32"/>
    <x v="72"/>
    <x v="26"/>
    <x v="49"/>
    <x v="17"/>
    <x v="28"/>
    <x v="0"/>
    <x v="1"/>
  </r>
  <r>
    <x v="38"/>
    <x v="15"/>
    <x v="30"/>
    <x v="39"/>
    <x v="185"/>
    <x v="11"/>
    <x v="31"/>
    <x v="86"/>
    <x v="59"/>
    <x v="69"/>
    <x v="26"/>
    <x v="32"/>
    <x v="16"/>
    <x v="1"/>
  </r>
  <r>
    <x v="39"/>
    <x v="8"/>
    <x v="27"/>
    <x v="39"/>
    <x v="186"/>
    <x v="11"/>
    <x v="31"/>
    <x v="134"/>
    <x v="60"/>
    <x v="55"/>
    <x v="26"/>
    <x v="40"/>
    <x v="8"/>
    <x v="1"/>
  </r>
  <r>
    <x v="40"/>
    <x v="33"/>
    <x v="16"/>
    <x v="39"/>
    <x v="188"/>
    <x v="11"/>
    <x v="31"/>
    <x v="80"/>
    <x v="61"/>
    <x v="70"/>
    <x v="26"/>
    <x v="43"/>
    <x v="35"/>
    <x v="1"/>
  </r>
  <r>
    <x v="41"/>
    <x v="13"/>
    <x v="37"/>
    <x v="80"/>
    <x v="28"/>
    <x v="22"/>
    <x v="31"/>
    <x v="184"/>
    <x v="62"/>
    <x v="60"/>
    <x v="25"/>
    <x v="3"/>
    <x v="13"/>
    <x v="1"/>
  </r>
  <r>
    <x v="42"/>
    <x v="22"/>
    <x v="6"/>
    <x v="80"/>
    <x v="29"/>
    <x v="22"/>
    <x v="31"/>
    <x v="177"/>
    <x v="27"/>
    <x v="10"/>
    <x v="25"/>
    <x v="4"/>
    <x v="23"/>
    <x v="1"/>
  </r>
  <r>
    <x v="43"/>
    <x v="25"/>
    <x v="26"/>
    <x v="80"/>
    <x v="30"/>
    <x v="22"/>
    <x v="31"/>
    <x v="180"/>
    <x v="28"/>
    <x v="19"/>
    <x v="25"/>
    <x v="17"/>
    <x v="27"/>
    <x v="1"/>
  </r>
  <r>
    <x v="44"/>
    <x v="38"/>
    <x v="31"/>
    <x v="35"/>
    <x v="177"/>
    <x v="9"/>
    <x v="29"/>
    <x v="32"/>
    <x v="29"/>
    <x v="50"/>
    <x v="29"/>
    <x v="0"/>
    <x v="42"/>
    <x v="1"/>
  </r>
  <r>
    <x v="45"/>
    <x v="7"/>
    <x v="32"/>
    <x v="35"/>
    <x v="178"/>
    <x v="9"/>
    <x v="29"/>
    <x v="15"/>
    <x v="30"/>
    <x v="40"/>
    <x v="29"/>
    <x v="50"/>
    <x v="7"/>
    <x v="1"/>
  </r>
  <r>
    <x v="46"/>
    <x v="30"/>
    <x v="2"/>
    <x v="38"/>
    <x v="35"/>
    <x v="15"/>
    <x v="22"/>
    <x v="103"/>
    <x v="31"/>
    <x v="52"/>
    <x v="39"/>
    <x v="23"/>
    <x v="32"/>
    <x v="1"/>
  </r>
  <r>
    <x v="47"/>
    <x v="2"/>
    <x v="41"/>
    <x v="41"/>
    <x v="68"/>
    <x v="22"/>
    <x v="16"/>
    <x v="178"/>
    <x v="32"/>
    <x v="23"/>
    <x v="36"/>
    <x v="7"/>
    <x v="2"/>
    <x v="1"/>
  </r>
  <r>
    <x v="48"/>
    <x v="8"/>
    <x v="27"/>
    <x v="84"/>
    <x v="65"/>
    <x v="16"/>
    <x v="15"/>
    <x v="149"/>
    <x v="43"/>
    <x v="56"/>
    <x v="32"/>
    <x v="35"/>
    <x v="8"/>
    <x v="1"/>
  </r>
  <r>
    <x v="49"/>
    <x v="15"/>
    <x v="30"/>
    <x v="84"/>
    <x v="66"/>
    <x v="16"/>
    <x v="14"/>
    <x v="139"/>
    <x v="44"/>
    <x v="71"/>
    <x v="32"/>
    <x v="39"/>
    <x v="16"/>
    <x v="1"/>
  </r>
  <r>
    <x v="50"/>
    <x v="24"/>
    <x v="4"/>
    <x v="122"/>
    <x v="72"/>
    <x v="18"/>
    <x v="10"/>
    <x v="147"/>
    <x v="33"/>
    <x v="20"/>
    <x v="26"/>
    <x v="45"/>
    <x v="26"/>
    <x v="1"/>
  </r>
  <r>
    <x v="51"/>
    <x v="26"/>
    <x v="5"/>
    <x v="122"/>
    <x v="73"/>
    <x v="18"/>
    <x v="10"/>
    <x v="140"/>
    <x v="45"/>
    <x v="61"/>
    <x v="26"/>
    <x v="10"/>
    <x v="28"/>
    <x v="1"/>
  </r>
  <r>
    <x v="52"/>
    <x v="20"/>
    <x v="19"/>
    <x v="34"/>
    <x v="74"/>
    <x v="15"/>
    <x v="6"/>
    <x v="136"/>
    <x v="46"/>
    <x v="64"/>
    <x v="12"/>
    <x v="20"/>
    <x v="21"/>
    <x v="1"/>
  </r>
  <r>
    <x v="0"/>
    <x v="17"/>
    <x v="15"/>
    <x v="57"/>
    <x v="61"/>
    <x v="17"/>
    <x v="36"/>
    <x v="170"/>
    <x v="2"/>
    <x v="12"/>
    <x v="100"/>
    <x v="17"/>
    <x v="18"/>
    <x v="0"/>
  </r>
  <r>
    <x v="1"/>
    <x v="4"/>
    <x v="1"/>
    <x v="9"/>
    <x v="0"/>
    <x v="14"/>
    <x v="34"/>
    <x v="179"/>
    <x v="13"/>
    <x v="8"/>
    <x v="110"/>
    <x v="10"/>
    <x v="4"/>
    <x v="0"/>
  </r>
  <r>
    <x v="2"/>
    <x v="4"/>
    <x v="1"/>
    <x v="8"/>
    <x v="54"/>
    <x v="13"/>
    <x v="33"/>
    <x v="194"/>
    <x v="24"/>
    <x v="9"/>
    <x v="110"/>
    <x v="9"/>
    <x v="4"/>
    <x v="0"/>
  </r>
  <r>
    <x v="3"/>
    <x v="37"/>
    <x v="8"/>
    <x v="58"/>
    <x v="56"/>
    <x v="13"/>
    <x v="33"/>
    <x v="126"/>
    <x v="35"/>
    <x v="36"/>
    <x v="79"/>
    <x v="18"/>
    <x v="40"/>
    <x v="0"/>
  </r>
  <r>
    <x v="4"/>
    <x v="13"/>
    <x v="37"/>
    <x v="59"/>
    <x v="53"/>
    <x v="12"/>
    <x v="32"/>
    <x v="167"/>
    <x v="42"/>
    <x v="58"/>
    <x v="103"/>
    <x v="21"/>
    <x v="13"/>
    <x v="0"/>
  </r>
  <r>
    <x v="5"/>
    <x v="34"/>
    <x v="33"/>
    <x v="11"/>
    <x v="34"/>
    <x v="11"/>
    <x v="31"/>
    <x v="146"/>
    <x v="37"/>
    <x v="21"/>
    <x v="111"/>
    <x v="20"/>
    <x v="37"/>
    <x v="0"/>
  </r>
  <r>
    <x v="6"/>
    <x v="0"/>
    <x v="22"/>
    <x v="106"/>
    <x v="46"/>
    <x v="11"/>
    <x v="31"/>
    <x v="112"/>
    <x v="38"/>
    <x v="43"/>
    <x v="108"/>
    <x v="8"/>
    <x v="0"/>
    <x v="0"/>
  </r>
  <r>
    <x v="7"/>
    <x v="15"/>
    <x v="30"/>
    <x v="55"/>
    <x v="51"/>
    <x v="11"/>
    <x v="31"/>
    <x v="123"/>
    <x v="53"/>
    <x v="67"/>
    <x v="107"/>
    <x v="11"/>
    <x v="16"/>
    <x v="0"/>
  </r>
  <r>
    <x v="8"/>
    <x v="8"/>
    <x v="27"/>
    <x v="55"/>
    <x v="52"/>
    <x v="11"/>
    <x v="31"/>
    <x v="159"/>
    <x v="56"/>
    <x v="54"/>
    <x v="107"/>
    <x v="13"/>
    <x v="8"/>
    <x v="0"/>
  </r>
  <r>
    <x v="9"/>
    <x v="27"/>
    <x v="35"/>
    <x v="6"/>
    <x v="24"/>
    <x v="9"/>
    <x v="29"/>
    <x v="72"/>
    <x v="39"/>
    <x v="44"/>
    <x v="112"/>
    <x v="15"/>
    <x v="29"/>
    <x v="0"/>
  </r>
  <r>
    <x v="10"/>
    <x v="0"/>
    <x v="22"/>
    <x v="54"/>
    <x v="26"/>
    <x v="9"/>
    <x v="29"/>
    <x v="84"/>
    <x v="40"/>
    <x v="45"/>
    <x v="102"/>
    <x v="16"/>
    <x v="0"/>
    <x v="0"/>
  </r>
  <r>
    <x v="11"/>
    <x v="27"/>
    <x v="35"/>
    <x v="5"/>
    <x v="215"/>
    <x v="7"/>
    <x v="27"/>
    <x v="19"/>
    <x v="41"/>
    <x v="46"/>
    <x v="109"/>
    <x v="7"/>
    <x v="29"/>
    <x v="0"/>
  </r>
  <r>
    <x v="12"/>
    <x v="22"/>
    <x v="29"/>
    <x v="56"/>
    <x v="43"/>
    <x v="7"/>
    <x v="27"/>
    <x v="132"/>
    <x v="3"/>
    <x v="37"/>
    <x v="79"/>
    <x v="4"/>
    <x v="24"/>
    <x v="0"/>
  </r>
  <r>
    <x v="13"/>
    <x v="40"/>
    <x v="11"/>
    <x v="10"/>
    <x v="63"/>
    <x v="10"/>
    <x v="27"/>
    <x v="158"/>
    <x v="4"/>
    <x v="2"/>
    <x v="105"/>
    <x v="3"/>
    <x v="44"/>
    <x v="0"/>
  </r>
  <r>
    <x v="14"/>
    <x v="4"/>
    <x v="1"/>
    <x v="7"/>
    <x v="67"/>
    <x v="11"/>
    <x v="25"/>
    <x v="175"/>
    <x v="5"/>
    <x v="10"/>
    <x v="104"/>
    <x v="19"/>
    <x v="4"/>
    <x v="0"/>
  </r>
  <r>
    <x v="15"/>
    <x v="38"/>
    <x v="31"/>
    <x v="104"/>
    <x v="12"/>
    <x v="3"/>
    <x v="23"/>
    <x v="74"/>
    <x v="6"/>
    <x v="47"/>
    <x v="84"/>
    <x v="14"/>
    <x v="42"/>
    <x v="0"/>
  </r>
  <r>
    <x v="16"/>
    <x v="7"/>
    <x v="32"/>
    <x v="104"/>
    <x v="13"/>
    <x v="3"/>
    <x v="23"/>
    <x v="64"/>
    <x v="7"/>
    <x v="38"/>
    <x v="84"/>
    <x v="12"/>
    <x v="7"/>
    <x v="0"/>
  </r>
  <r>
    <x v="17"/>
    <x v="13"/>
    <x v="37"/>
    <x v="60"/>
    <x v="142"/>
    <x v="0"/>
    <x v="20"/>
    <x v="0"/>
    <x v="57"/>
    <x v="59"/>
    <x v="103"/>
    <x v="0"/>
    <x v="13"/>
    <x v="0"/>
  </r>
  <r>
    <x v="18"/>
    <x v="8"/>
    <x v="27"/>
    <x v="4"/>
    <x v="58"/>
    <x v="0"/>
    <x v="20"/>
    <x v="29"/>
    <x v="58"/>
    <x v="55"/>
    <x v="98"/>
    <x v="2"/>
    <x v="8"/>
    <x v="0"/>
  </r>
  <r>
    <x v="19"/>
    <x v="4"/>
    <x v="1"/>
    <x v="54"/>
    <x v="75"/>
    <x v="9"/>
    <x v="9"/>
    <x v="200"/>
    <x v="8"/>
    <x v="11"/>
    <x v="96"/>
    <x v="1"/>
    <x v="4"/>
    <x v="0"/>
  </r>
  <r>
    <x v="20"/>
    <x v="15"/>
    <x v="30"/>
    <x v="53"/>
    <x v="76"/>
    <x v="8"/>
    <x v="8"/>
    <x v="143"/>
    <x v="59"/>
    <x v="68"/>
    <x v="89"/>
    <x v="22"/>
    <x v="16"/>
    <x v="0"/>
  </r>
  <r>
    <x v="21"/>
    <x v="8"/>
    <x v="27"/>
    <x v="53"/>
    <x v="77"/>
    <x v="8"/>
    <x v="8"/>
    <x v="198"/>
    <x v="60"/>
    <x v="56"/>
    <x v="89"/>
    <x v="6"/>
    <x v="8"/>
    <x v="0"/>
  </r>
  <r>
    <x v="22"/>
    <x v="13"/>
    <x v="37"/>
    <x v="52"/>
    <x v="78"/>
    <x v="7"/>
    <x v="7"/>
    <x v="125"/>
    <x v="61"/>
    <x v="60"/>
    <x v="89"/>
    <x v="5"/>
    <x v="13"/>
    <x v="0"/>
  </r>
  <r>
    <x v="0"/>
    <x v="17"/>
    <x v="15"/>
    <x v="33"/>
    <x v="143"/>
    <x v="22"/>
    <x v="42"/>
    <x v="146"/>
    <x v="2"/>
    <x v="12"/>
    <x v="101"/>
    <x v="20"/>
    <x v="18"/>
    <x v="3"/>
  </r>
  <r>
    <x v="1"/>
    <x v="17"/>
    <x v="15"/>
    <x v="33"/>
    <x v="160"/>
    <x v="22"/>
    <x v="42"/>
    <x v="148"/>
    <x v="13"/>
    <x v="14"/>
    <x v="93"/>
    <x v="4"/>
    <x v="18"/>
    <x v="3"/>
  </r>
  <r>
    <x v="2"/>
    <x v="17"/>
    <x v="15"/>
    <x v="33"/>
    <x v="160"/>
    <x v="22"/>
    <x v="42"/>
    <x v="148"/>
    <x v="24"/>
    <x v="13"/>
    <x v="93"/>
    <x v="14"/>
    <x v="18"/>
    <x v="3"/>
  </r>
  <r>
    <x v="3"/>
    <x v="40"/>
    <x v="11"/>
    <x v="25"/>
    <x v="162"/>
    <x v="22"/>
    <x v="42"/>
    <x v="144"/>
    <x v="35"/>
    <x v="2"/>
    <x v="104"/>
    <x v="28"/>
    <x v="44"/>
    <x v="3"/>
  </r>
  <r>
    <x v="4"/>
    <x v="34"/>
    <x v="33"/>
    <x v="94"/>
    <x v="132"/>
    <x v="18"/>
    <x v="38"/>
    <x v="127"/>
    <x v="37"/>
    <x v="21"/>
    <x v="85"/>
    <x v="17"/>
    <x v="37"/>
    <x v="3"/>
  </r>
  <r>
    <x v="5"/>
    <x v="4"/>
    <x v="1"/>
    <x v="94"/>
    <x v="140"/>
    <x v="18"/>
    <x v="38"/>
    <x v="113"/>
    <x v="38"/>
    <x v="8"/>
    <x v="95"/>
    <x v="5"/>
    <x v="4"/>
    <x v="3"/>
  </r>
  <r>
    <x v="6"/>
    <x v="4"/>
    <x v="1"/>
    <x v="94"/>
    <x v="143"/>
    <x v="18"/>
    <x v="38"/>
    <x v="116"/>
    <x v="39"/>
    <x v="9"/>
    <x v="99"/>
    <x v="19"/>
    <x v="4"/>
    <x v="3"/>
  </r>
  <r>
    <x v="7"/>
    <x v="37"/>
    <x v="8"/>
    <x v="95"/>
    <x v="148"/>
    <x v="18"/>
    <x v="38"/>
    <x v="105"/>
    <x v="40"/>
    <x v="36"/>
    <x v="107"/>
    <x v="37"/>
    <x v="40"/>
    <x v="3"/>
  </r>
  <r>
    <x v="8"/>
    <x v="8"/>
    <x v="27"/>
    <x v="94"/>
    <x v="153"/>
    <x v="18"/>
    <x v="38"/>
    <x v="141"/>
    <x v="42"/>
    <x v="54"/>
    <x v="99"/>
    <x v="15"/>
    <x v="8"/>
    <x v="3"/>
  </r>
  <r>
    <x v="9"/>
    <x v="13"/>
    <x v="37"/>
    <x v="32"/>
    <x v="159"/>
    <x v="18"/>
    <x v="38"/>
    <x v="135"/>
    <x v="53"/>
    <x v="58"/>
    <x v="97"/>
    <x v="36"/>
    <x v="13"/>
    <x v="3"/>
  </r>
  <r>
    <x v="10"/>
    <x v="6"/>
    <x v="0"/>
    <x v="24"/>
    <x v="163"/>
    <x v="18"/>
    <x v="37"/>
    <x v="117"/>
    <x v="41"/>
    <x v="28"/>
    <x v="91"/>
    <x v="21"/>
    <x v="6"/>
    <x v="3"/>
  </r>
  <r>
    <x v="11"/>
    <x v="37"/>
    <x v="8"/>
    <x v="97"/>
    <x v="128"/>
    <x v="15"/>
    <x v="35"/>
    <x v="67"/>
    <x v="3"/>
    <x v="37"/>
    <x v="90"/>
    <x v="41"/>
    <x v="40"/>
    <x v="3"/>
  </r>
  <r>
    <x v="12"/>
    <x v="15"/>
    <x v="30"/>
    <x v="89"/>
    <x v="130"/>
    <x v="15"/>
    <x v="35"/>
    <x v="90"/>
    <x v="56"/>
    <x v="67"/>
    <x v="85"/>
    <x v="26"/>
    <x v="16"/>
    <x v="3"/>
  </r>
  <r>
    <x v="13"/>
    <x v="8"/>
    <x v="27"/>
    <x v="89"/>
    <x v="131"/>
    <x v="15"/>
    <x v="35"/>
    <x v="124"/>
    <x v="57"/>
    <x v="55"/>
    <x v="85"/>
    <x v="34"/>
    <x v="8"/>
    <x v="3"/>
  </r>
  <r>
    <x v="14"/>
    <x v="28"/>
    <x v="11"/>
    <x v="31"/>
    <x v="144"/>
    <x v="15"/>
    <x v="35"/>
    <x v="85"/>
    <x v="4"/>
    <x v="29"/>
    <x v="106"/>
    <x v="18"/>
    <x v="30"/>
    <x v="3"/>
  </r>
  <r>
    <x v="15"/>
    <x v="6"/>
    <x v="0"/>
    <x v="23"/>
    <x v="155"/>
    <x v="15"/>
    <x v="35"/>
    <x v="99"/>
    <x v="5"/>
    <x v="30"/>
    <x v="86"/>
    <x v="43"/>
    <x v="6"/>
    <x v="3"/>
  </r>
  <r>
    <x v="16"/>
    <x v="34"/>
    <x v="33"/>
    <x v="101"/>
    <x v="157"/>
    <x v="15"/>
    <x v="35"/>
    <x v="97"/>
    <x v="6"/>
    <x v="31"/>
    <x v="83"/>
    <x v="29"/>
    <x v="37"/>
    <x v="3"/>
  </r>
  <r>
    <x v="17"/>
    <x v="0"/>
    <x v="22"/>
    <x v="92"/>
    <x v="158"/>
    <x v="15"/>
    <x v="35"/>
    <x v="62"/>
    <x v="7"/>
    <x v="43"/>
    <x v="92"/>
    <x v="16"/>
    <x v="0"/>
    <x v="3"/>
  </r>
  <r>
    <x v="18"/>
    <x v="24"/>
    <x v="4"/>
    <x v="31"/>
    <x v="161"/>
    <x v="15"/>
    <x v="35"/>
    <x v="106"/>
    <x v="8"/>
    <x v="17"/>
    <x v="88"/>
    <x v="39"/>
    <x v="26"/>
    <x v="3"/>
  </r>
  <r>
    <x v="19"/>
    <x v="37"/>
    <x v="8"/>
    <x v="96"/>
    <x v="154"/>
    <x v="14"/>
    <x v="34"/>
    <x v="92"/>
    <x v="9"/>
    <x v="38"/>
    <x v="88"/>
    <x v="23"/>
    <x v="40"/>
    <x v="3"/>
  </r>
  <r>
    <x v="20"/>
    <x v="23"/>
    <x v="13"/>
    <x v="29"/>
    <x v="134"/>
    <x v="13"/>
    <x v="33"/>
    <x v="52"/>
    <x v="10"/>
    <x v="42"/>
    <x v="94"/>
    <x v="11"/>
    <x v="25"/>
    <x v="3"/>
  </r>
  <r>
    <x v="21"/>
    <x v="0"/>
    <x v="22"/>
    <x v="97"/>
    <x v="168"/>
    <x v="15"/>
    <x v="33"/>
    <x v="77"/>
    <x v="11"/>
    <x v="44"/>
    <x v="86"/>
    <x v="31"/>
    <x v="0"/>
    <x v="3"/>
  </r>
  <r>
    <x v="22"/>
    <x v="37"/>
    <x v="8"/>
    <x v="90"/>
    <x v="151"/>
    <x v="12"/>
    <x v="32"/>
    <x v="73"/>
    <x v="12"/>
    <x v="39"/>
    <x v="81"/>
    <x v="25"/>
    <x v="40"/>
    <x v="3"/>
  </r>
  <r>
    <x v="23"/>
    <x v="39"/>
    <x v="14"/>
    <x v="28"/>
    <x v="149"/>
    <x v="11"/>
    <x v="31"/>
    <x v="66"/>
    <x v="58"/>
    <x v="77"/>
    <x v="78"/>
    <x v="8"/>
    <x v="43"/>
    <x v="3"/>
  </r>
  <r>
    <x v="24"/>
    <x v="38"/>
    <x v="31"/>
    <x v="28"/>
    <x v="152"/>
    <x v="11"/>
    <x v="31"/>
    <x v="54"/>
    <x v="14"/>
    <x v="45"/>
    <x v="78"/>
    <x v="27"/>
    <x v="42"/>
    <x v="3"/>
  </r>
  <r>
    <x v="25"/>
    <x v="37"/>
    <x v="8"/>
    <x v="99"/>
    <x v="151"/>
    <x v="10"/>
    <x v="30"/>
    <x v="73"/>
    <x v="15"/>
    <x v="40"/>
    <x v="81"/>
    <x v="24"/>
    <x v="40"/>
    <x v="3"/>
  </r>
  <r>
    <x v="26"/>
    <x v="38"/>
    <x v="31"/>
    <x v="27"/>
    <x v="135"/>
    <x v="9"/>
    <x v="29"/>
    <x v="32"/>
    <x v="16"/>
    <x v="46"/>
    <x v="80"/>
    <x v="9"/>
    <x v="42"/>
    <x v="3"/>
  </r>
  <r>
    <x v="27"/>
    <x v="38"/>
    <x v="31"/>
    <x v="27"/>
    <x v="136"/>
    <x v="9"/>
    <x v="29"/>
    <x v="24"/>
    <x v="17"/>
    <x v="47"/>
    <x v="93"/>
    <x v="0"/>
    <x v="42"/>
    <x v="3"/>
  </r>
  <r>
    <x v="28"/>
    <x v="1"/>
    <x v="18"/>
    <x v="27"/>
    <x v="137"/>
    <x v="9"/>
    <x v="29"/>
    <x v="56"/>
    <x v="59"/>
    <x v="68"/>
    <x v="80"/>
    <x v="22"/>
    <x v="1"/>
    <x v="3"/>
  </r>
  <r>
    <x v="29"/>
    <x v="7"/>
    <x v="32"/>
    <x v="27"/>
    <x v="138"/>
    <x v="9"/>
    <x v="29"/>
    <x v="26"/>
    <x v="18"/>
    <x v="41"/>
    <x v="93"/>
    <x v="3"/>
    <x v="7"/>
    <x v="3"/>
  </r>
  <r>
    <x v="30"/>
    <x v="38"/>
    <x v="31"/>
    <x v="27"/>
    <x v="147"/>
    <x v="9"/>
    <x v="29"/>
    <x v="32"/>
    <x v="19"/>
    <x v="48"/>
    <x v="75"/>
    <x v="44"/>
    <x v="42"/>
    <x v="3"/>
  </r>
  <r>
    <x v="31"/>
    <x v="39"/>
    <x v="14"/>
    <x v="27"/>
    <x v="150"/>
    <x v="9"/>
    <x v="29"/>
    <x v="54"/>
    <x v="60"/>
    <x v="78"/>
    <x v="75"/>
    <x v="42"/>
    <x v="43"/>
    <x v="3"/>
  </r>
  <r>
    <x v="32"/>
    <x v="27"/>
    <x v="35"/>
    <x v="16"/>
    <x v="138"/>
    <x v="8"/>
    <x v="28"/>
    <x v="30"/>
    <x v="20"/>
    <x v="49"/>
    <x v="95"/>
    <x v="2"/>
    <x v="29"/>
    <x v="3"/>
  </r>
  <r>
    <x v="33"/>
    <x v="9"/>
    <x v="24"/>
    <x v="15"/>
    <x v="139"/>
    <x v="6"/>
    <x v="26"/>
    <x v="35"/>
    <x v="61"/>
    <x v="74"/>
    <x v="80"/>
    <x v="40"/>
    <x v="9"/>
    <x v="3"/>
  </r>
  <r>
    <x v="34"/>
    <x v="38"/>
    <x v="31"/>
    <x v="26"/>
    <x v="136"/>
    <x v="5"/>
    <x v="25"/>
    <x v="24"/>
    <x v="21"/>
    <x v="50"/>
    <x v="93"/>
    <x v="13"/>
    <x v="42"/>
    <x v="3"/>
  </r>
  <r>
    <x v="35"/>
    <x v="13"/>
    <x v="37"/>
    <x v="100"/>
    <x v="15"/>
    <x v="17"/>
    <x v="24"/>
    <x v="119"/>
    <x v="62"/>
    <x v="59"/>
    <x v="90"/>
    <x v="35"/>
    <x v="13"/>
    <x v="3"/>
  </r>
  <r>
    <x v="36"/>
    <x v="15"/>
    <x v="30"/>
    <x v="93"/>
    <x v="220"/>
    <x v="11"/>
    <x v="23"/>
    <x v="110"/>
    <x v="43"/>
    <x v="69"/>
    <x v="78"/>
    <x v="1"/>
    <x v="16"/>
    <x v="3"/>
  </r>
  <r>
    <x v="37"/>
    <x v="4"/>
    <x v="1"/>
    <x v="100"/>
    <x v="16"/>
    <x v="17"/>
    <x v="23"/>
    <x v="122"/>
    <x v="22"/>
    <x v="10"/>
    <x v="90"/>
    <x v="6"/>
    <x v="4"/>
    <x v="3"/>
  </r>
  <r>
    <x v="38"/>
    <x v="30"/>
    <x v="2"/>
    <x v="142"/>
    <x v="169"/>
    <x v="4"/>
    <x v="22"/>
    <x v="12"/>
    <x v="23"/>
    <x v="51"/>
    <x v="81"/>
    <x v="10"/>
    <x v="32"/>
    <x v="3"/>
  </r>
  <r>
    <x v="39"/>
    <x v="8"/>
    <x v="27"/>
    <x v="94"/>
    <x v="47"/>
    <x v="18"/>
    <x v="14"/>
    <x v="197"/>
    <x v="44"/>
    <x v="56"/>
    <x v="82"/>
    <x v="38"/>
    <x v="8"/>
    <x v="3"/>
  </r>
  <r>
    <x v="40"/>
    <x v="9"/>
    <x v="24"/>
    <x v="30"/>
    <x v="32"/>
    <x v="3"/>
    <x v="12"/>
    <x v="21"/>
    <x v="45"/>
    <x v="75"/>
    <x v="77"/>
    <x v="32"/>
    <x v="9"/>
    <x v="3"/>
  </r>
  <r>
    <x v="41"/>
    <x v="9"/>
    <x v="24"/>
    <x v="28"/>
    <x v="59"/>
    <x v="11"/>
    <x v="11"/>
    <x v="96"/>
    <x v="46"/>
    <x v="76"/>
    <x v="76"/>
    <x v="12"/>
    <x v="9"/>
    <x v="3"/>
  </r>
  <r>
    <x v="42"/>
    <x v="1"/>
    <x v="18"/>
    <x v="28"/>
    <x v="60"/>
    <x v="11"/>
    <x v="11"/>
    <x v="97"/>
    <x v="47"/>
    <x v="70"/>
    <x v="76"/>
    <x v="7"/>
    <x v="1"/>
    <x v="3"/>
  </r>
  <r>
    <x v="43"/>
    <x v="15"/>
    <x v="30"/>
    <x v="91"/>
    <x v="79"/>
    <x v="11"/>
    <x v="1"/>
    <x v="195"/>
    <x v="48"/>
    <x v="71"/>
    <x v="75"/>
    <x v="33"/>
    <x v="16"/>
    <x v="3"/>
  </r>
  <r>
    <x v="44"/>
    <x v="8"/>
    <x v="27"/>
    <x v="91"/>
    <x v="80"/>
    <x v="11"/>
    <x v="1"/>
    <x v="203"/>
    <x v="49"/>
    <x v="57"/>
    <x v="75"/>
    <x v="30"/>
    <x v="8"/>
    <x v="3"/>
  </r>
  <r>
    <x v="0"/>
    <x v="17"/>
    <x v="15"/>
    <x v="120"/>
    <x v="212"/>
    <x v="20"/>
    <x v="40"/>
    <x v="168"/>
    <x v="2"/>
    <x v="12"/>
    <x v="63"/>
    <x v="0"/>
    <x v="18"/>
    <x v="4"/>
  </r>
  <r>
    <x v="1"/>
    <x v="40"/>
    <x v="11"/>
    <x v="119"/>
    <x v="14"/>
    <x v="22"/>
    <x v="39"/>
    <x v="192"/>
    <x v="13"/>
    <x v="2"/>
    <x v="64"/>
    <x v="15"/>
    <x v="44"/>
    <x v="4"/>
  </r>
  <r>
    <x v="2"/>
    <x v="34"/>
    <x v="33"/>
    <x v="19"/>
    <x v="205"/>
    <x v="18"/>
    <x v="38"/>
    <x v="149"/>
    <x v="24"/>
    <x v="21"/>
    <x v="56"/>
    <x v="25"/>
    <x v="37"/>
    <x v="4"/>
  </r>
  <r>
    <x v="3"/>
    <x v="4"/>
    <x v="1"/>
    <x v="22"/>
    <x v="7"/>
    <x v="18"/>
    <x v="37"/>
    <x v="153"/>
    <x v="35"/>
    <x v="8"/>
    <x v="53"/>
    <x v="16"/>
    <x v="4"/>
    <x v="4"/>
  </r>
  <r>
    <x v="4"/>
    <x v="31"/>
    <x v="10"/>
    <x v="118"/>
    <x v="0"/>
    <x v="15"/>
    <x v="35"/>
    <x v="95"/>
    <x v="0"/>
    <x v="0"/>
    <x v="62"/>
    <x v="11"/>
    <x v="33"/>
    <x v="4"/>
  </r>
  <r>
    <x v="5"/>
    <x v="37"/>
    <x v="8"/>
    <x v="118"/>
    <x v="181"/>
    <x v="15"/>
    <x v="35"/>
    <x v="79"/>
    <x v="37"/>
    <x v="36"/>
    <x v="74"/>
    <x v="30"/>
    <x v="40"/>
    <x v="4"/>
  </r>
  <r>
    <x v="6"/>
    <x v="19"/>
    <x v="28"/>
    <x v="20"/>
    <x v="187"/>
    <x v="15"/>
    <x v="35"/>
    <x v="111"/>
    <x v="42"/>
    <x v="64"/>
    <x v="70"/>
    <x v="6"/>
    <x v="20"/>
    <x v="4"/>
  </r>
  <r>
    <x v="7"/>
    <x v="15"/>
    <x v="30"/>
    <x v="18"/>
    <x v="190"/>
    <x v="15"/>
    <x v="35"/>
    <x v="89"/>
    <x v="53"/>
    <x v="67"/>
    <x v="55"/>
    <x v="31"/>
    <x v="16"/>
    <x v="4"/>
  </r>
  <r>
    <x v="8"/>
    <x v="8"/>
    <x v="27"/>
    <x v="18"/>
    <x v="193"/>
    <x v="15"/>
    <x v="35"/>
    <x v="137"/>
    <x v="56"/>
    <x v="54"/>
    <x v="55"/>
    <x v="3"/>
    <x v="8"/>
    <x v="4"/>
  </r>
  <r>
    <x v="9"/>
    <x v="34"/>
    <x v="33"/>
    <x v="18"/>
    <x v="194"/>
    <x v="15"/>
    <x v="35"/>
    <x v="95"/>
    <x v="38"/>
    <x v="28"/>
    <x v="55"/>
    <x v="9"/>
    <x v="37"/>
    <x v="4"/>
  </r>
  <r>
    <x v="10"/>
    <x v="24"/>
    <x v="4"/>
    <x v="118"/>
    <x v="195"/>
    <x v="15"/>
    <x v="35"/>
    <x v="109"/>
    <x v="39"/>
    <x v="17"/>
    <x v="55"/>
    <x v="29"/>
    <x v="26"/>
    <x v="4"/>
  </r>
  <r>
    <x v="11"/>
    <x v="0"/>
    <x v="22"/>
    <x v="118"/>
    <x v="197"/>
    <x v="15"/>
    <x v="35"/>
    <x v="94"/>
    <x v="40"/>
    <x v="43"/>
    <x v="63"/>
    <x v="12"/>
    <x v="0"/>
    <x v="4"/>
  </r>
  <r>
    <x v="12"/>
    <x v="37"/>
    <x v="8"/>
    <x v="117"/>
    <x v="184"/>
    <x v="13"/>
    <x v="33"/>
    <x v="75"/>
    <x v="3"/>
    <x v="37"/>
    <x v="52"/>
    <x v="4"/>
    <x v="40"/>
    <x v="4"/>
  </r>
  <r>
    <x v="13"/>
    <x v="6"/>
    <x v="0"/>
    <x v="117"/>
    <x v="184"/>
    <x v="13"/>
    <x v="33"/>
    <x v="61"/>
    <x v="41"/>
    <x v="29"/>
    <x v="52"/>
    <x v="14"/>
    <x v="6"/>
    <x v="4"/>
  </r>
  <r>
    <x v="14"/>
    <x v="0"/>
    <x v="22"/>
    <x v="117"/>
    <x v="192"/>
    <x v="13"/>
    <x v="33"/>
    <x v="69"/>
    <x v="4"/>
    <x v="44"/>
    <x v="61"/>
    <x v="13"/>
    <x v="0"/>
    <x v="4"/>
  </r>
  <r>
    <x v="15"/>
    <x v="27"/>
    <x v="35"/>
    <x v="117"/>
    <x v="197"/>
    <x v="13"/>
    <x v="33"/>
    <x v="50"/>
    <x v="5"/>
    <x v="45"/>
    <x v="50"/>
    <x v="26"/>
    <x v="29"/>
    <x v="4"/>
  </r>
  <r>
    <x v="16"/>
    <x v="19"/>
    <x v="28"/>
    <x v="17"/>
    <x v="201"/>
    <x v="13"/>
    <x v="33"/>
    <x v="55"/>
    <x v="57"/>
    <x v="65"/>
    <x v="67"/>
    <x v="27"/>
    <x v="20"/>
    <x v="4"/>
  </r>
  <r>
    <x v="17"/>
    <x v="33"/>
    <x v="21"/>
    <x v="17"/>
    <x v="202"/>
    <x v="13"/>
    <x v="33"/>
    <x v="49"/>
    <x v="58"/>
    <x v="66"/>
    <x v="67"/>
    <x v="18"/>
    <x v="36"/>
    <x v="4"/>
  </r>
  <r>
    <x v="18"/>
    <x v="22"/>
    <x v="29"/>
    <x v="17"/>
    <x v="217"/>
    <x v="13"/>
    <x v="33"/>
    <x v="57"/>
    <x v="6"/>
    <x v="38"/>
    <x v="87"/>
    <x v="34"/>
    <x v="24"/>
    <x v="4"/>
  </r>
  <r>
    <x v="19"/>
    <x v="37"/>
    <x v="9"/>
    <x v="103"/>
    <x v="222"/>
    <x v="11"/>
    <x v="31"/>
    <x v="76"/>
    <x v="8"/>
    <x v="39"/>
    <x v="51"/>
    <x v="17"/>
    <x v="41"/>
    <x v="4"/>
  </r>
  <r>
    <x v="20"/>
    <x v="38"/>
    <x v="31"/>
    <x v="103"/>
    <x v="222"/>
    <x v="11"/>
    <x v="31"/>
    <x v="76"/>
    <x v="7"/>
    <x v="46"/>
    <x v="51"/>
    <x v="32"/>
    <x v="42"/>
    <x v="4"/>
  </r>
  <r>
    <x v="21"/>
    <x v="9"/>
    <x v="24"/>
    <x v="102"/>
    <x v="172"/>
    <x v="8"/>
    <x v="28"/>
    <x v="42"/>
    <x v="60"/>
    <x v="74"/>
    <x v="73"/>
    <x v="1"/>
    <x v="9"/>
    <x v="4"/>
  </r>
  <r>
    <x v="22"/>
    <x v="1"/>
    <x v="18"/>
    <x v="102"/>
    <x v="172"/>
    <x v="8"/>
    <x v="28"/>
    <x v="42"/>
    <x v="61"/>
    <x v="69"/>
    <x v="73"/>
    <x v="21"/>
    <x v="1"/>
    <x v="4"/>
  </r>
  <r>
    <x v="23"/>
    <x v="10"/>
    <x v="11"/>
    <x v="102"/>
    <x v="172"/>
    <x v="8"/>
    <x v="28"/>
    <x v="42"/>
    <x v="59"/>
    <x v="68"/>
    <x v="73"/>
    <x v="22"/>
    <x v="10"/>
    <x v="4"/>
  </r>
  <r>
    <x v="24"/>
    <x v="38"/>
    <x v="31"/>
    <x v="117"/>
    <x v="21"/>
    <x v="13"/>
    <x v="28"/>
    <x v="60"/>
    <x v="9"/>
    <x v="47"/>
    <x v="58"/>
    <x v="23"/>
    <x v="42"/>
    <x v="4"/>
  </r>
  <r>
    <x v="25"/>
    <x v="7"/>
    <x v="32"/>
    <x v="117"/>
    <x v="22"/>
    <x v="13"/>
    <x v="26"/>
    <x v="51"/>
    <x v="10"/>
    <x v="40"/>
    <x v="58"/>
    <x v="28"/>
    <x v="7"/>
    <x v="4"/>
  </r>
  <r>
    <x v="26"/>
    <x v="30"/>
    <x v="2"/>
    <x v="121"/>
    <x v="176"/>
    <x v="5"/>
    <x v="25"/>
    <x v="11"/>
    <x v="11"/>
    <x v="51"/>
    <x v="60"/>
    <x v="7"/>
    <x v="32"/>
    <x v="4"/>
  </r>
  <r>
    <x v="27"/>
    <x v="30"/>
    <x v="2"/>
    <x v="98"/>
    <x v="170"/>
    <x v="4"/>
    <x v="24"/>
    <x v="7"/>
    <x v="12"/>
    <x v="52"/>
    <x v="61"/>
    <x v="8"/>
    <x v="32"/>
    <x v="4"/>
  </r>
  <r>
    <x v="28"/>
    <x v="4"/>
    <x v="1"/>
    <x v="120"/>
    <x v="36"/>
    <x v="20"/>
    <x v="24"/>
    <x v="171"/>
    <x v="14"/>
    <x v="9"/>
    <x v="44"/>
    <x v="10"/>
    <x v="4"/>
    <x v="4"/>
  </r>
  <r>
    <x v="29"/>
    <x v="9"/>
    <x v="24"/>
    <x v="21"/>
    <x v="93"/>
    <x v="1"/>
    <x v="21"/>
    <x v="1"/>
    <x v="44"/>
    <x v="75"/>
    <x v="73"/>
    <x v="2"/>
    <x v="9"/>
    <x v="4"/>
  </r>
  <r>
    <x v="30"/>
    <x v="10"/>
    <x v="11"/>
    <x v="21"/>
    <x v="93"/>
    <x v="1"/>
    <x v="21"/>
    <x v="1"/>
    <x v="62"/>
    <x v="70"/>
    <x v="73"/>
    <x v="20"/>
    <x v="10"/>
    <x v="4"/>
  </r>
  <r>
    <x v="31"/>
    <x v="1"/>
    <x v="18"/>
    <x v="21"/>
    <x v="93"/>
    <x v="1"/>
    <x v="21"/>
    <x v="1"/>
    <x v="43"/>
    <x v="71"/>
    <x v="73"/>
    <x v="33"/>
    <x v="1"/>
    <x v="4"/>
  </r>
  <r>
    <x v="32"/>
    <x v="22"/>
    <x v="6"/>
    <x v="116"/>
    <x v="55"/>
    <x v="11"/>
    <x v="16"/>
    <x v="138"/>
    <x v="15"/>
    <x v="10"/>
    <x v="65"/>
    <x v="5"/>
    <x v="23"/>
    <x v="4"/>
  </r>
  <r>
    <x v="33"/>
    <x v="13"/>
    <x v="37"/>
    <x v="117"/>
    <x v="71"/>
    <x v="13"/>
    <x v="10"/>
    <x v="66"/>
    <x v="45"/>
    <x v="58"/>
    <x v="51"/>
    <x v="19"/>
    <x v="13"/>
    <x v="4"/>
  </r>
  <r>
    <x v="34"/>
    <x v="2"/>
    <x v="41"/>
    <x v="119"/>
    <x v="86"/>
    <x v="22"/>
    <x v="0"/>
    <x v="190"/>
    <x v="16"/>
    <x v="30"/>
    <x v="45"/>
    <x v="24"/>
    <x v="2"/>
    <x v="4"/>
  </r>
  <r>
    <x v="0"/>
    <x v="17"/>
    <x v="15"/>
    <x v="71"/>
    <x v="48"/>
    <x v="22"/>
    <x v="42"/>
    <x v="204"/>
    <x v="2"/>
    <x v="12"/>
    <x v="65"/>
    <x v="12"/>
    <x v="18"/>
    <x v="5"/>
  </r>
  <r>
    <x v="1"/>
    <x v="34"/>
    <x v="33"/>
    <x v="46"/>
    <x v="49"/>
    <x v="19"/>
    <x v="39"/>
    <x v="202"/>
    <x v="13"/>
    <x v="21"/>
    <x v="63"/>
    <x v="3"/>
    <x v="37"/>
    <x v="5"/>
  </r>
  <r>
    <x v="2"/>
    <x v="8"/>
    <x v="27"/>
    <x v="45"/>
    <x v="25"/>
    <x v="17"/>
    <x v="37"/>
    <x v="196"/>
    <x v="42"/>
    <x v="54"/>
    <x v="63"/>
    <x v="9"/>
    <x v="8"/>
    <x v="5"/>
  </r>
  <r>
    <x v="3"/>
    <x v="4"/>
    <x v="1"/>
    <x v="50"/>
    <x v="31"/>
    <x v="17"/>
    <x v="37"/>
    <x v="191"/>
    <x v="24"/>
    <x v="8"/>
    <x v="68"/>
    <x v="27"/>
    <x v="4"/>
    <x v="5"/>
  </r>
  <r>
    <x v="4"/>
    <x v="13"/>
    <x v="37"/>
    <x v="51"/>
    <x v="33"/>
    <x v="17"/>
    <x v="37"/>
    <x v="193"/>
    <x v="53"/>
    <x v="58"/>
    <x v="50"/>
    <x v="11"/>
    <x v="13"/>
    <x v="5"/>
  </r>
  <r>
    <x v="5"/>
    <x v="37"/>
    <x v="8"/>
    <x v="67"/>
    <x v="42"/>
    <x v="17"/>
    <x v="37"/>
    <x v="186"/>
    <x v="35"/>
    <x v="36"/>
    <x v="72"/>
    <x v="7"/>
    <x v="40"/>
    <x v="5"/>
  </r>
  <r>
    <x v="6"/>
    <x v="37"/>
    <x v="8"/>
    <x v="70"/>
    <x v="40"/>
    <x v="15"/>
    <x v="35"/>
    <x v="185"/>
    <x v="37"/>
    <x v="37"/>
    <x v="66"/>
    <x v="16"/>
    <x v="40"/>
    <x v="5"/>
  </r>
  <r>
    <x v="7"/>
    <x v="0"/>
    <x v="22"/>
    <x v="70"/>
    <x v="41"/>
    <x v="15"/>
    <x v="35"/>
    <x v="182"/>
    <x v="38"/>
    <x v="43"/>
    <x v="66"/>
    <x v="17"/>
    <x v="0"/>
    <x v="5"/>
  </r>
  <r>
    <x v="8"/>
    <x v="34"/>
    <x v="33"/>
    <x v="115"/>
    <x v="44"/>
    <x v="15"/>
    <x v="35"/>
    <x v="151"/>
    <x v="39"/>
    <x v="28"/>
    <x v="59"/>
    <x v="24"/>
    <x v="37"/>
    <x v="5"/>
  </r>
  <r>
    <x v="9"/>
    <x v="15"/>
    <x v="30"/>
    <x v="115"/>
    <x v="50"/>
    <x v="15"/>
    <x v="35"/>
    <x v="152"/>
    <x v="56"/>
    <x v="67"/>
    <x v="59"/>
    <x v="4"/>
    <x v="16"/>
    <x v="5"/>
  </r>
  <r>
    <x v="10"/>
    <x v="28"/>
    <x v="11"/>
    <x v="110"/>
    <x v="62"/>
    <x v="17"/>
    <x v="35"/>
    <x v="181"/>
    <x v="40"/>
    <x v="29"/>
    <x v="71"/>
    <x v="33"/>
    <x v="30"/>
    <x v="5"/>
  </r>
  <r>
    <x v="11"/>
    <x v="15"/>
    <x v="30"/>
    <x v="108"/>
    <x v="38"/>
    <x v="14"/>
    <x v="34"/>
    <x v="189"/>
    <x v="57"/>
    <x v="68"/>
    <x v="47"/>
    <x v="25"/>
    <x v="16"/>
    <x v="5"/>
  </r>
  <r>
    <x v="12"/>
    <x v="8"/>
    <x v="27"/>
    <x v="108"/>
    <x v="39"/>
    <x v="14"/>
    <x v="34"/>
    <x v="199"/>
    <x v="58"/>
    <x v="55"/>
    <x v="47"/>
    <x v="35"/>
    <x v="8"/>
    <x v="5"/>
  </r>
  <r>
    <x v="13"/>
    <x v="19"/>
    <x v="28"/>
    <x v="47"/>
    <x v="56"/>
    <x v="14"/>
    <x v="34"/>
    <x v="173"/>
    <x v="59"/>
    <x v="64"/>
    <x v="63"/>
    <x v="6"/>
    <x v="20"/>
    <x v="5"/>
  </r>
  <r>
    <x v="14"/>
    <x v="33"/>
    <x v="21"/>
    <x v="47"/>
    <x v="57"/>
    <x v="14"/>
    <x v="34"/>
    <x v="174"/>
    <x v="60"/>
    <x v="65"/>
    <x v="63"/>
    <x v="0"/>
    <x v="36"/>
    <x v="5"/>
  </r>
  <r>
    <x v="15"/>
    <x v="27"/>
    <x v="35"/>
    <x v="72"/>
    <x v="37"/>
    <x v="13"/>
    <x v="33"/>
    <x v="133"/>
    <x v="41"/>
    <x v="44"/>
    <x v="54"/>
    <x v="2"/>
    <x v="29"/>
    <x v="5"/>
  </r>
  <r>
    <x v="16"/>
    <x v="6"/>
    <x v="0"/>
    <x v="69"/>
    <x v="225"/>
    <x v="12"/>
    <x v="32"/>
    <x v="129"/>
    <x v="3"/>
    <x v="30"/>
    <x v="57"/>
    <x v="13"/>
    <x v="6"/>
    <x v="5"/>
  </r>
  <r>
    <x v="17"/>
    <x v="0"/>
    <x v="22"/>
    <x v="69"/>
    <x v="10"/>
    <x v="12"/>
    <x v="32"/>
    <x v="121"/>
    <x v="4"/>
    <x v="45"/>
    <x v="49"/>
    <x v="21"/>
    <x v="0"/>
    <x v="5"/>
  </r>
  <r>
    <x v="18"/>
    <x v="37"/>
    <x v="8"/>
    <x v="69"/>
    <x v="11"/>
    <x v="12"/>
    <x v="32"/>
    <x v="131"/>
    <x v="5"/>
    <x v="38"/>
    <x v="49"/>
    <x v="14"/>
    <x v="40"/>
    <x v="5"/>
  </r>
  <r>
    <x v="19"/>
    <x v="15"/>
    <x v="30"/>
    <x v="114"/>
    <x v="45"/>
    <x v="12"/>
    <x v="32"/>
    <x v="157"/>
    <x v="61"/>
    <x v="69"/>
    <x v="46"/>
    <x v="32"/>
    <x v="16"/>
    <x v="5"/>
  </r>
  <r>
    <x v="20"/>
    <x v="38"/>
    <x v="31"/>
    <x v="68"/>
    <x v="19"/>
    <x v="10"/>
    <x v="30"/>
    <x v="103"/>
    <x v="6"/>
    <x v="46"/>
    <x v="62"/>
    <x v="15"/>
    <x v="42"/>
    <x v="5"/>
  </r>
  <r>
    <x v="21"/>
    <x v="7"/>
    <x v="32"/>
    <x v="68"/>
    <x v="20"/>
    <x v="10"/>
    <x v="30"/>
    <x v="102"/>
    <x v="7"/>
    <x v="39"/>
    <x v="62"/>
    <x v="23"/>
    <x v="7"/>
    <x v="5"/>
  </r>
  <r>
    <x v="22"/>
    <x v="27"/>
    <x v="35"/>
    <x v="73"/>
    <x v="23"/>
    <x v="10"/>
    <x v="30"/>
    <x v="81"/>
    <x v="8"/>
    <x v="47"/>
    <x v="48"/>
    <x v="8"/>
    <x v="29"/>
    <x v="5"/>
  </r>
  <r>
    <x v="23"/>
    <x v="1"/>
    <x v="18"/>
    <x v="107"/>
    <x v="27"/>
    <x v="9"/>
    <x v="29"/>
    <x v="137"/>
    <x v="44"/>
    <x v="70"/>
    <x v="69"/>
    <x v="1"/>
    <x v="1"/>
    <x v="5"/>
  </r>
  <r>
    <x v="24"/>
    <x v="9"/>
    <x v="24"/>
    <x v="107"/>
    <x v="27"/>
    <x v="9"/>
    <x v="29"/>
    <x v="137"/>
    <x v="62"/>
    <x v="74"/>
    <x v="69"/>
    <x v="5"/>
    <x v="9"/>
    <x v="5"/>
  </r>
  <r>
    <x v="25"/>
    <x v="10"/>
    <x v="11"/>
    <x v="107"/>
    <x v="27"/>
    <x v="9"/>
    <x v="29"/>
    <x v="137"/>
    <x v="43"/>
    <x v="71"/>
    <x v="69"/>
    <x v="18"/>
    <x v="10"/>
    <x v="5"/>
  </r>
  <r>
    <x v="26"/>
    <x v="38"/>
    <x v="31"/>
    <x v="63"/>
    <x v="218"/>
    <x v="7"/>
    <x v="27"/>
    <x v="70"/>
    <x v="9"/>
    <x v="48"/>
    <x v="49"/>
    <x v="10"/>
    <x v="42"/>
    <x v="5"/>
  </r>
  <r>
    <x v="27"/>
    <x v="7"/>
    <x v="32"/>
    <x v="64"/>
    <x v="232"/>
    <x v="7"/>
    <x v="27"/>
    <x v="71"/>
    <x v="10"/>
    <x v="40"/>
    <x v="49"/>
    <x v="28"/>
    <x v="7"/>
    <x v="5"/>
  </r>
  <r>
    <x v="28"/>
    <x v="24"/>
    <x v="4"/>
    <x v="48"/>
    <x v="64"/>
    <x v="9"/>
    <x v="25"/>
    <x v="167"/>
    <x v="11"/>
    <x v="17"/>
    <x v="65"/>
    <x v="20"/>
    <x v="26"/>
    <x v="5"/>
  </r>
  <r>
    <x v="29"/>
    <x v="30"/>
    <x v="2"/>
    <x v="109"/>
    <x v="204"/>
    <x v="4"/>
    <x v="24"/>
    <x v="14"/>
    <x v="12"/>
    <x v="51"/>
    <x v="66"/>
    <x v="22"/>
    <x v="32"/>
    <x v="5"/>
  </r>
  <r>
    <x v="30"/>
    <x v="4"/>
    <x v="1"/>
    <x v="113"/>
    <x v="70"/>
    <x v="8"/>
    <x v="18"/>
    <x v="156"/>
    <x v="14"/>
    <x v="9"/>
    <x v="59"/>
    <x v="26"/>
    <x v="4"/>
    <x v="5"/>
  </r>
  <r>
    <x v="31"/>
    <x v="13"/>
    <x v="37"/>
    <x v="105"/>
    <x v="69"/>
    <x v="0"/>
    <x v="13"/>
    <x v="4"/>
    <x v="45"/>
    <x v="59"/>
    <x v="43"/>
    <x v="34"/>
    <x v="13"/>
    <x v="5"/>
  </r>
  <r>
    <x v="32"/>
    <x v="8"/>
    <x v="27"/>
    <x v="112"/>
    <x v="81"/>
    <x v="9"/>
    <x v="5"/>
    <x v="201"/>
    <x v="46"/>
    <x v="56"/>
    <x v="44"/>
    <x v="19"/>
    <x v="8"/>
    <x v="5"/>
  </r>
  <r>
    <x v="33"/>
    <x v="15"/>
    <x v="30"/>
    <x v="112"/>
    <x v="82"/>
    <x v="9"/>
    <x v="5"/>
    <x v="187"/>
    <x v="47"/>
    <x v="72"/>
    <x v="44"/>
    <x v="30"/>
    <x v="16"/>
    <x v="5"/>
  </r>
  <r>
    <x v="34"/>
    <x v="21"/>
    <x v="17"/>
    <x v="111"/>
    <x v="83"/>
    <x v="9"/>
    <x v="4"/>
    <x v="124"/>
    <x v="48"/>
    <x v="73"/>
    <x v="44"/>
    <x v="31"/>
    <x v="22"/>
    <x v="5"/>
  </r>
  <r>
    <x v="35"/>
    <x v="13"/>
    <x v="37"/>
    <x v="49"/>
    <x v="84"/>
    <x v="14"/>
    <x v="3"/>
    <x v="183"/>
    <x v="49"/>
    <x v="60"/>
    <x v="48"/>
    <x v="36"/>
    <x v="13"/>
    <x v="5"/>
  </r>
  <r>
    <x v="36"/>
    <x v="13"/>
    <x v="37"/>
    <x v="123"/>
    <x v="85"/>
    <x v="2"/>
    <x v="2"/>
    <x v="48"/>
    <x v="50"/>
    <x v="61"/>
    <x v="48"/>
    <x v="29"/>
    <x v="13"/>
    <x v="5"/>
  </r>
</pivotCacheRecords>
</file>

<file path=xl/pivotTables/_rels/pivotTable1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_rels/pivotTable2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2.xml"/>
</Relationships>
</file>

<file path=xl/pivotTables/pivotTable1.xml><?xml version="1.0" encoding="utf-8"?>
<pivotTableDefinition xmlns="http://schemas.openxmlformats.org/spreadsheetml/2006/main" name="PivotTable1" cacheId="1" applyNumberFormats="0" applyBorderFormats="0" applyFontFormats="0" applyPatternFormats="0" applyAlignmentFormats="0" applyWidthHeightFormats="0" dataCaption="Values" showDrill="1" useAutoFormatting="0" itemPrintTitles="1" indent="0" outline="1" outlineData="1" compact="1" compactData="1">
  <location ref="A3:J54" firstHeaderRow="1" firstDataRow="2" firstDataCol="1"/>
  <pivotFields count="14"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axis="axisRow" showAll="0">
      <items count="5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t="default"/>
      </items>
    </pivotField>
    <pivotField axis="axisCol" showAll="0">
      <items count="9">
        <item x="0"/>
        <item x="1"/>
        <item x="2"/>
        <item x="3"/>
        <item x="4"/>
        <item x="5"/>
        <item x="6"/>
        <item x="7"/>
        <item t="default"/>
      </items>
    </pivotField>
  </pivotFields>
  <rowFields count="1">
    <field x="12"/>
  </rowFields>
  <rowItems count="50">
    <i>
      <x v="0"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 t="grand">
      <x v="49"/>
    </i>
  </rowItems>
  <colFields count="1">
    <field x="13"/>
  </colFields>
  <colItems count="9">
    <i>
      <x v="0"/>
    </i>
    <i>
      <x v="1"/>
    </i>
    <i>
      <x v="2"/>
    </i>
    <i>
      <x v="3"/>
    </i>
    <i>
      <x v="4"/>
    </i>
    <i>
      <x v="5"/>
    </i>
    <i>
      <x v="6"/>
    </i>
    <i>
      <x v="7"/>
    </i>
    <i t="grand">
      <x v="8"/>
    </i>
  </colItems>
  <dataFields count="1">
    <dataField name="Max of NetPoints" fld="6" subtotal="max" numFmtId="164"/>
  </dataField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="http://schemas.openxmlformats.org/spreadsheetml/2006/main" name="DataPilot1" cacheId="2" applyNumberFormats="0" applyBorderFormats="0" applyFontFormats="0" applyPatternFormats="0" applyAlignmentFormats="0" applyWidthHeightFormats="0" dataCaption="Values" showDrill="1" useAutoFormatting="0" itemPrintTitles="1" indent="0" outline="1" outlineData="1" compact="1" compactData="1">
  <location ref="A3:G50" firstHeaderRow="1" firstDataRow="2" firstDataCol="1"/>
  <pivotFields count="14"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axis="axisRow" showAll="0">
      <items count="4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t="default"/>
      </items>
    </pivotField>
    <pivotField axis="axisCol" showAll="0">
      <items count="7">
        <item x="0"/>
        <item x="1"/>
        <item x="2"/>
        <item x="3"/>
        <item x="4"/>
        <item x="5"/>
        <item t="default"/>
      </items>
    </pivotField>
  </pivotFields>
  <rowFields count="1">
    <field x="12"/>
  </rowFields>
  <rowItems count="46">
    <i>
      <x v="0"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 t="grand">
      <x v="45"/>
    </i>
  </rowItems>
  <colFields count="1">
    <field x="13"/>
  </colFields>
  <colItems count="6">
    <i>
      <x v="0"/>
    </i>
    <i>
      <x v="1"/>
    </i>
    <i>
      <x v="2"/>
    </i>
    <i>
      <x v="3"/>
    </i>
    <i>
      <x v="4"/>
    </i>
    <i t="grand">
      <x v="5"/>
    </i>
  </colItems>
  <dataFields count="1">
    <dataField name="Max. of NetPoints" fld="6" subtotal="max" numFmtId="164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pivotTable" Target="../pivotTables/pivotTable1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pivotTable" Target="../pivotTables/pivotTable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48576"/>
  <sheetViews>
    <sheetView showFormulas="false" showGridLines="true" showRowColHeaders="true" showZeros="true" rightToLeft="false" tabSelected="true" showOutlineSymbols="true" defaultGridColor="true" view="normal" topLeftCell="A1" colorId="64" zoomScale="70" zoomScaleNormal="70" zoomScalePageLayoutView="100" workbookViewId="0">
      <selection pane="topLeft" activeCell="A1" activeCellId="0" sqref="A:A"/>
    </sheetView>
  </sheetViews>
  <sheetFormatPr defaultColWidth="8.59765625" defaultRowHeight="15" customHeight="true" zeroHeight="false" outlineLevelRow="0" outlineLevelCol="0"/>
  <cols>
    <col collapsed="false" customWidth="true" hidden="false" outlineLevel="0" max="2" min="2" style="0" width="22"/>
    <col collapsed="false" customWidth="true" hidden="false" outlineLevel="0" max="3" min="3" style="0" width="12"/>
    <col collapsed="false" customWidth="true" hidden="false" outlineLevel="0" max="4" min="4" style="0" width="14.14"/>
    <col collapsed="false" customWidth="true" hidden="false" outlineLevel="0" max="7" min="7" style="0" width="10.57"/>
    <col collapsed="false" customWidth="true" hidden="false" outlineLevel="0" max="8" min="8" style="0" width="10.14"/>
    <col collapsed="false" customWidth="true" hidden="false" outlineLevel="0" max="9" min="9" style="0" width="10.57"/>
    <col collapsed="false" customWidth="true" hidden="false" outlineLevel="0" max="10" min="10" style="0" width="10.14"/>
    <col collapsed="false" customWidth="true" hidden="false" outlineLevel="0" max="16384" min="16378" style="0" width="10.16"/>
  </cols>
  <sheetData>
    <row r="1" customFormat="false" ht="15" hidden="false" customHeight="fals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5" hidden="false" customHeight="false" outlineLevel="0" collapsed="false">
      <c r="A2" s="1"/>
      <c r="B2" s="2" t="s">
        <v>0</v>
      </c>
      <c r="C2" s="2" t="s">
        <v>1</v>
      </c>
      <c r="D2" s="2" t="s">
        <v>2</v>
      </c>
      <c r="E2" s="2" t="s">
        <v>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</row>
    <row r="3" customFormat="false" ht="15" hidden="false" customHeight="false" outlineLevel="0" collapsed="false">
      <c r="A3" s="1"/>
      <c r="B3" s="3" t="s">
        <v>10</v>
      </c>
      <c r="C3" s="3"/>
      <c r="D3" s="3" t="n">
        <v>190</v>
      </c>
      <c r="E3" s="3" t="n">
        <v>240</v>
      </c>
      <c r="F3" s="3" t="n">
        <v>250</v>
      </c>
      <c r="G3" s="3" t="n">
        <v>250</v>
      </c>
      <c r="H3" s="3" t="n">
        <v>250</v>
      </c>
      <c r="I3" s="3" t="n">
        <v>230</v>
      </c>
      <c r="J3" s="3" t="n">
        <v>250</v>
      </c>
      <c r="K3" s="3" t="n">
        <f aca="false">SUM(E3+F3+G3+H3+I3+J3)</f>
        <v>1470</v>
      </c>
    </row>
    <row r="4" customFormat="false" ht="15" hidden="false" customHeight="false" outlineLevel="0" collapsed="false">
      <c r="A4" s="1"/>
      <c r="B4" s="3" t="s">
        <v>11</v>
      </c>
      <c r="C4" s="3" t="n">
        <v>210</v>
      </c>
      <c r="D4" s="3" t="n">
        <v>140</v>
      </c>
      <c r="E4" s="3" t="n">
        <v>240</v>
      </c>
      <c r="F4" s="3" t="n">
        <v>250</v>
      </c>
      <c r="G4" s="3" t="n">
        <v>230</v>
      </c>
      <c r="H4" s="3" t="n">
        <v>210</v>
      </c>
      <c r="I4" s="3" t="n">
        <v>210</v>
      </c>
      <c r="J4" s="3" t="n">
        <v>220</v>
      </c>
      <c r="K4" s="3" t="n">
        <f aca="false">SUM(E4+F4+G4+H4+I4+J4)</f>
        <v>1360</v>
      </c>
    </row>
    <row r="5" customFormat="false" ht="15" hidden="false" customHeight="false" outlineLevel="0" collapsed="false">
      <c r="A5" s="1"/>
      <c r="B5" s="3" t="s">
        <v>12</v>
      </c>
      <c r="C5" s="3" t="n">
        <v>200</v>
      </c>
      <c r="D5" s="3" t="n">
        <v>150</v>
      </c>
      <c r="E5" s="3" t="n">
        <v>220</v>
      </c>
      <c r="F5" s="3" t="n">
        <v>250</v>
      </c>
      <c r="G5" s="3" t="n">
        <v>220</v>
      </c>
      <c r="H5" s="3" t="n">
        <v>210</v>
      </c>
      <c r="I5" s="3" t="n">
        <v>-320</v>
      </c>
      <c r="J5" s="3" t="n">
        <v>200</v>
      </c>
      <c r="K5" s="3" t="n">
        <f aca="false">SUM(C5+E5+F5+G5+H5+J5)</f>
        <v>1300</v>
      </c>
    </row>
    <row r="6" customFormat="false" ht="15" hidden="false" customHeight="false" outlineLevel="0" collapsed="false">
      <c r="A6" s="1"/>
      <c r="B6" s="3" t="s">
        <v>13</v>
      </c>
      <c r="C6" s="3" t="n">
        <v>180</v>
      </c>
      <c r="D6" s="3" t="n">
        <v>170</v>
      </c>
      <c r="E6" s="3" t="n">
        <v>210</v>
      </c>
      <c r="F6" s="3" t="n">
        <v>250</v>
      </c>
      <c r="G6" s="3" t="n">
        <v>220</v>
      </c>
      <c r="H6" s="3" t="n">
        <v>210</v>
      </c>
      <c r="I6" s="3" t="n">
        <v>200</v>
      </c>
      <c r="J6" s="3" t="n">
        <v>200</v>
      </c>
      <c r="K6" s="3" t="n">
        <f aca="false">SUM(E6+F6+G6+H6+I6+J6)</f>
        <v>1290</v>
      </c>
    </row>
    <row r="7" customFormat="false" ht="15" hidden="false" customHeight="false" outlineLevel="0" collapsed="false">
      <c r="A7" s="1"/>
      <c r="B7" s="3" t="s">
        <v>14</v>
      </c>
      <c r="C7" s="3" t="n">
        <v>180</v>
      </c>
      <c r="D7" s="3" t="n">
        <v>140</v>
      </c>
      <c r="E7" s="3" t="n">
        <v>190</v>
      </c>
      <c r="F7" s="3" t="n">
        <v>230</v>
      </c>
      <c r="G7" s="3" t="n">
        <v>200</v>
      </c>
      <c r="H7" s="3" t="n">
        <v>210</v>
      </c>
      <c r="I7" s="3" t="n">
        <v>180</v>
      </c>
      <c r="J7" s="3" t="n">
        <v>200</v>
      </c>
      <c r="K7" s="3" t="n">
        <f aca="false">SUM(E7+F7+G7+H7+I7+J7)</f>
        <v>1210</v>
      </c>
    </row>
    <row r="8" customFormat="false" ht="15" hidden="false" customHeight="false" outlineLevel="0" collapsed="false">
      <c r="A8" s="1"/>
      <c r="B8" s="3" t="s">
        <v>15</v>
      </c>
      <c r="C8" s="3" t="n">
        <v>180</v>
      </c>
      <c r="D8" s="3" t="n">
        <v>160</v>
      </c>
      <c r="E8" s="3" t="n">
        <v>180</v>
      </c>
      <c r="F8" s="3" t="n">
        <v>230</v>
      </c>
      <c r="G8" s="3" t="n">
        <v>190</v>
      </c>
      <c r="H8" s="3" t="n">
        <v>210</v>
      </c>
      <c r="I8" s="3" t="n">
        <v>180</v>
      </c>
      <c r="J8" s="3" t="n">
        <v>200</v>
      </c>
      <c r="K8" s="3" t="n">
        <f aca="false">SUM(E8+F8+G8+H8+I8+J8)</f>
        <v>1190</v>
      </c>
    </row>
    <row r="9" customFormat="false" ht="15" hidden="false" customHeight="false" outlineLevel="0" collapsed="false">
      <c r="A9" s="1"/>
      <c r="B9" s="3" t="s">
        <v>16</v>
      </c>
      <c r="C9" s="3"/>
      <c r="D9" s="3"/>
      <c r="E9" s="3" t="n">
        <v>210</v>
      </c>
      <c r="F9" s="3" t="n">
        <v>240</v>
      </c>
      <c r="G9" s="3" t="n">
        <v>210</v>
      </c>
      <c r="H9" s="3" t="n">
        <v>200</v>
      </c>
      <c r="I9" s="3" t="n">
        <v>160</v>
      </c>
      <c r="J9" s="3" t="n">
        <v>150</v>
      </c>
      <c r="K9" s="3" t="n">
        <f aca="false">SUM(C9+D9+E9+F9+G9+H9+I9+J9)</f>
        <v>1170</v>
      </c>
    </row>
    <row r="10" customFormat="false" ht="15" hidden="false" customHeight="false" outlineLevel="0" collapsed="false">
      <c r="A10" s="1"/>
      <c r="B10" s="3" t="s">
        <v>17</v>
      </c>
      <c r="C10" s="3" t="n">
        <v>180</v>
      </c>
      <c r="D10" s="3" t="n">
        <v>140</v>
      </c>
      <c r="E10" s="3" t="n">
        <v>170</v>
      </c>
      <c r="F10" s="3" t="n">
        <v>210</v>
      </c>
      <c r="G10" s="3" t="n">
        <v>190</v>
      </c>
      <c r="H10" s="3" t="n">
        <v>180</v>
      </c>
      <c r="I10" s="3" t="n">
        <v>180</v>
      </c>
      <c r="J10" s="3" t="n">
        <v>180</v>
      </c>
      <c r="K10" s="3" t="n">
        <f aca="false">SUM(C10+F10+G10+H10+I10+J10)</f>
        <v>1120</v>
      </c>
    </row>
    <row r="11" customFormat="false" ht="15" hidden="false" customHeight="false" outlineLevel="0" collapsed="false">
      <c r="A11" s="1"/>
      <c r="B11" s="3" t="s">
        <v>18</v>
      </c>
      <c r="C11" s="3"/>
      <c r="D11" s="3" t="n">
        <v>140</v>
      </c>
      <c r="E11" s="3" t="n">
        <v>10</v>
      </c>
      <c r="F11" s="3" t="n">
        <v>230</v>
      </c>
      <c r="G11" s="3" t="n">
        <v>200</v>
      </c>
      <c r="H11" s="3" t="n">
        <v>180</v>
      </c>
      <c r="I11" s="3" t="n">
        <v>180</v>
      </c>
      <c r="J11" s="3" t="n">
        <v>180</v>
      </c>
      <c r="K11" s="3" t="n">
        <f aca="false">SUM(C11+D11+F11+G11+H11+I11+J11)</f>
        <v>1110</v>
      </c>
    </row>
    <row r="12" customFormat="false" ht="15" hidden="false" customHeight="false" outlineLevel="0" collapsed="false">
      <c r="A12" s="1"/>
      <c r="B12" s="3" t="s">
        <v>19</v>
      </c>
      <c r="C12" s="3"/>
      <c r="D12" s="3" t="n">
        <v>100</v>
      </c>
      <c r="E12" s="3"/>
      <c r="F12" s="3" t="n">
        <v>250</v>
      </c>
      <c r="G12" s="3" t="n">
        <v>250</v>
      </c>
      <c r="H12" s="3" t="n">
        <v>250</v>
      </c>
      <c r="I12" s="3" t="n">
        <v>220</v>
      </c>
      <c r="J12" s="3"/>
      <c r="K12" s="3" t="n">
        <f aca="false">SUM(C12+D12+E12+F12+G12+H12+I12+J12)</f>
        <v>1070</v>
      </c>
    </row>
    <row r="13" customFormat="false" ht="15" hidden="false" customHeight="false" outlineLevel="0" collapsed="false">
      <c r="A13" s="1"/>
      <c r="B13" s="3" t="s">
        <v>20</v>
      </c>
      <c r="C13" s="3" t="n">
        <v>140</v>
      </c>
      <c r="D13" s="3" t="n">
        <v>120</v>
      </c>
      <c r="E13" s="3" t="n">
        <v>140</v>
      </c>
      <c r="F13" s="3" t="n">
        <v>180</v>
      </c>
      <c r="G13" s="3" t="n">
        <v>160</v>
      </c>
      <c r="H13" s="3" t="n">
        <v>110</v>
      </c>
      <c r="I13" s="3" t="n">
        <v>160</v>
      </c>
      <c r="J13" s="3" t="n">
        <v>160</v>
      </c>
      <c r="K13" s="3" t="n">
        <f aca="false">SUM(C13+E13+F13+G13+I13+J13)</f>
        <v>940</v>
      </c>
    </row>
    <row r="14" customFormat="false" ht="15" hidden="false" customHeight="false" outlineLevel="0" collapsed="false">
      <c r="A14" s="1"/>
      <c r="B14" s="3" t="s">
        <v>21</v>
      </c>
      <c r="C14" s="3" t="n">
        <v>120</v>
      </c>
      <c r="D14" s="3" t="n">
        <v>60</v>
      </c>
      <c r="E14" s="3" t="n">
        <v>150</v>
      </c>
      <c r="F14" s="3" t="n">
        <v>160</v>
      </c>
      <c r="G14" s="3" t="n">
        <v>130</v>
      </c>
      <c r="H14" s="3" t="n">
        <v>140</v>
      </c>
      <c r="I14" s="3" t="n">
        <v>140</v>
      </c>
      <c r="J14" s="3" t="n">
        <v>130</v>
      </c>
      <c r="K14" s="3" t="n">
        <f aca="false">SUM(E14+F14+G14+H14+I14+J14)</f>
        <v>850</v>
      </c>
    </row>
    <row r="15" customFormat="false" ht="15" hidden="false" customHeight="false" outlineLevel="0" collapsed="false">
      <c r="A15" s="1"/>
      <c r="B15" s="3" t="s">
        <v>22</v>
      </c>
      <c r="C15" s="3"/>
      <c r="D15" s="3"/>
      <c r="E15" s="3"/>
      <c r="F15" s="3" t="n">
        <v>210</v>
      </c>
      <c r="G15" s="3" t="n">
        <v>180</v>
      </c>
      <c r="H15" s="3" t="n">
        <v>180</v>
      </c>
      <c r="I15" s="3" t="n">
        <v>180</v>
      </c>
      <c r="J15" s="3" t="n">
        <v>80</v>
      </c>
      <c r="K15" s="3" t="n">
        <f aca="false">SUM(C15+D15+E15+F15+G15+H15+I15+J15)</f>
        <v>830</v>
      </c>
    </row>
    <row r="16" customFormat="false" ht="15" hidden="false" customHeight="false" outlineLevel="0" collapsed="false">
      <c r="A16" s="1"/>
      <c r="B16" s="3" t="s">
        <v>23</v>
      </c>
      <c r="C16" s="3"/>
      <c r="D16" s="3"/>
      <c r="E16" s="3"/>
      <c r="F16" s="3" t="n">
        <v>220</v>
      </c>
      <c r="G16" s="3" t="n">
        <v>220</v>
      </c>
      <c r="H16" s="3" t="n">
        <v>180</v>
      </c>
      <c r="I16" s="3"/>
      <c r="J16" s="3" t="n">
        <v>180</v>
      </c>
      <c r="K16" s="3" t="n">
        <f aca="false">SUM(C16+D16+E16+F16+G16+H16+I16+J16)</f>
        <v>800</v>
      </c>
    </row>
    <row r="17" customFormat="false" ht="15" hidden="false" customHeight="false" outlineLevel="0" collapsed="false">
      <c r="A17" s="1"/>
      <c r="B17" s="3" t="s">
        <v>24</v>
      </c>
      <c r="C17" s="3" t="n">
        <v>120</v>
      </c>
      <c r="D17" s="3" t="n">
        <v>60</v>
      </c>
      <c r="E17" s="3" t="n">
        <v>130</v>
      </c>
      <c r="F17" s="3" t="n">
        <v>160</v>
      </c>
      <c r="G17" s="3" t="n">
        <v>130</v>
      </c>
      <c r="H17" s="3" t="n">
        <v>120</v>
      </c>
      <c r="I17" s="3" t="n">
        <v>90</v>
      </c>
      <c r="J17" s="3" t="n">
        <v>130</v>
      </c>
      <c r="K17" s="3" t="n">
        <f aca="false">SUM(C17+E17+F17+G17+H17+J17)</f>
        <v>790</v>
      </c>
    </row>
    <row r="18" customFormat="false" ht="15" hidden="false" customHeight="false" outlineLevel="0" collapsed="false">
      <c r="A18" s="1"/>
      <c r="B18" s="3" t="s">
        <v>25</v>
      </c>
      <c r="C18" s="3"/>
      <c r="D18" s="3"/>
      <c r="E18" s="3"/>
      <c r="F18" s="3" t="n">
        <v>250</v>
      </c>
      <c r="G18" s="3" t="n">
        <v>230</v>
      </c>
      <c r="H18" s="3"/>
      <c r="I18" s="3" t="n">
        <v>180</v>
      </c>
      <c r="J18" s="3"/>
      <c r="K18" s="3" t="n">
        <f aca="false">SUM(C18+D18+E18+F18+G18+H18+I18+J18)</f>
        <v>660</v>
      </c>
    </row>
    <row r="19" customFormat="false" ht="15" hidden="false" customHeight="false" outlineLevel="0" collapsed="false">
      <c r="A19" s="1"/>
      <c r="B19" s="3" t="s">
        <v>26</v>
      </c>
      <c r="C19" s="3"/>
      <c r="D19" s="3"/>
      <c r="E19" s="3"/>
      <c r="F19" s="3" t="n">
        <v>190</v>
      </c>
      <c r="G19" s="3" t="n">
        <v>180</v>
      </c>
      <c r="H19" s="3"/>
      <c r="I19" s="3" t="n">
        <v>110</v>
      </c>
      <c r="J19" s="3" t="n">
        <v>120</v>
      </c>
      <c r="K19" s="3" t="n">
        <f aca="false">SUM(C19+D19+E19+F19+G19+H19+I19+J19)</f>
        <v>600</v>
      </c>
    </row>
    <row r="20" customFormat="false" ht="15" hidden="false" customHeight="false" outlineLevel="0" collapsed="false">
      <c r="A20" s="1"/>
      <c r="B20" s="3" t="s">
        <v>27</v>
      </c>
      <c r="C20" s="3"/>
      <c r="D20" s="3"/>
      <c r="E20" s="3" t="n">
        <v>120</v>
      </c>
      <c r="F20" s="3" t="n">
        <v>160</v>
      </c>
      <c r="G20" s="3" t="n">
        <v>120</v>
      </c>
      <c r="H20" s="3" t="n">
        <v>50</v>
      </c>
      <c r="I20" s="3" t="n">
        <v>80</v>
      </c>
      <c r="J20" s="3" t="n">
        <v>70</v>
      </c>
      <c r="K20" s="3" t="n">
        <f aca="false">SUM(C20+D20+E20+F20+G20+H20+I20+J20)</f>
        <v>600</v>
      </c>
    </row>
    <row r="21" customFormat="false" ht="15" hidden="false" customHeight="false" outlineLevel="0" collapsed="false">
      <c r="A21" s="1"/>
      <c r="B21" s="3" t="s">
        <v>28</v>
      </c>
      <c r="C21" s="3"/>
      <c r="D21" s="3"/>
      <c r="E21" s="3" t="n">
        <v>150</v>
      </c>
      <c r="F21" s="3"/>
      <c r="G21" s="3"/>
      <c r="H21" s="3" t="n">
        <v>120</v>
      </c>
      <c r="I21" s="3" t="n">
        <v>110</v>
      </c>
      <c r="J21" s="3" t="n">
        <v>120</v>
      </c>
      <c r="K21" s="3" t="n">
        <f aca="false">SUM(C21+D21+E21+F21+G21+H21+I21+J21)</f>
        <v>500</v>
      </c>
    </row>
    <row r="22" customFormat="false" ht="15" hidden="false" customHeight="false" outlineLevel="0" collapsed="false">
      <c r="A22" s="1"/>
      <c r="B22" s="3" t="s">
        <v>29</v>
      </c>
      <c r="C22" s="3"/>
      <c r="D22" s="3"/>
      <c r="E22" s="3"/>
      <c r="F22" s="3" t="n">
        <v>250</v>
      </c>
      <c r="G22" s="3" t="n">
        <v>250</v>
      </c>
      <c r="H22" s="3"/>
      <c r="I22" s="3"/>
      <c r="J22" s="3"/>
      <c r="K22" s="3" t="n">
        <f aca="false">SUM(C22+D22+E22+F22+G22+H22+I22+J22)</f>
        <v>500</v>
      </c>
    </row>
    <row r="23" customFormat="false" ht="15" hidden="false" customHeight="false" outlineLevel="0" collapsed="false">
      <c r="A23" s="1"/>
      <c r="B23" s="3" t="s">
        <v>30</v>
      </c>
      <c r="C23" s="3"/>
      <c r="D23" s="3"/>
      <c r="E23" s="3"/>
      <c r="F23" s="3" t="n">
        <v>250</v>
      </c>
      <c r="G23" s="3" t="n">
        <v>250</v>
      </c>
      <c r="H23" s="3"/>
      <c r="I23" s="3" t="n">
        <v>-770</v>
      </c>
      <c r="J23" s="3"/>
      <c r="K23" s="3" t="n">
        <v>500</v>
      </c>
    </row>
    <row r="24" customFormat="false" ht="15" hidden="false" customHeight="false" outlineLevel="0" collapsed="false">
      <c r="A24" s="1"/>
      <c r="B24" s="3" t="s">
        <v>31</v>
      </c>
      <c r="C24" s="3"/>
      <c r="D24" s="3"/>
      <c r="E24" s="3" t="n">
        <v>150</v>
      </c>
      <c r="F24" s="3"/>
      <c r="G24" s="3"/>
      <c r="H24" s="3" t="n">
        <v>90</v>
      </c>
      <c r="I24" s="3" t="n">
        <v>110</v>
      </c>
      <c r="J24" s="3" t="n">
        <v>120</v>
      </c>
      <c r="K24" s="3" t="n">
        <f aca="false">SUM(C24+D24+E24+F24+G24+H24+I24+J24)</f>
        <v>470</v>
      </c>
    </row>
    <row r="25" customFormat="false" ht="15" hidden="false" customHeight="false" outlineLevel="0" collapsed="false">
      <c r="A25" s="1"/>
      <c r="B25" s="3" t="s">
        <v>32</v>
      </c>
      <c r="C25" s="3"/>
      <c r="D25" s="3"/>
      <c r="E25" s="3"/>
      <c r="F25" s="3" t="n">
        <v>230</v>
      </c>
      <c r="G25" s="3" t="n">
        <v>220</v>
      </c>
      <c r="H25" s="3"/>
      <c r="I25" s="3"/>
      <c r="J25" s="3"/>
      <c r="K25" s="3" t="n">
        <f aca="false">SUM(C25+D25+E25+F25+G25+H25+I25+J25)</f>
        <v>450</v>
      </c>
    </row>
    <row r="26" customFormat="false" ht="15" hidden="false" customHeight="false" outlineLevel="0" collapsed="false">
      <c r="A26" s="1"/>
      <c r="B26" s="3" t="s">
        <v>33</v>
      </c>
      <c r="C26" s="3"/>
      <c r="D26" s="3"/>
      <c r="E26" s="3"/>
      <c r="F26" s="3"/>
      <c r="G26" s="3"/>
      <c r="H26" s="3"/>
      <c r="I26" s="3" t="n">
        <v>180</v>
      </c>
      <c r="J26" s="3" t="n">
        <v>170</v>
      </c>
      <c r="K26" s="3" t="n">
        <f aca="false">SUM(C26+D26+E26+F26+G26+H26+I26+J26)</f>
        <v>350</v>
      </c>
    </row>
    <row r="27" customFormat="false" ht="15" hidden="false" customHeight="false" outlineLevel="0" collapsed="false">
      <c r="A27" s="1"/>
      <c r="B27" s="3" t="s">
        <v>34</v>
      </c>
      <c r="C27" s="3"/>
      <c r="D27" s="3"/>
      <c r="E27" s="3"/>
      <c r="F27" s="3"/>
      <c r="G27" s="3"/>
      <c r="H27" s="3"/>
      <c r="I27" s="3" t="n">
        <v>160</v>
      </c>
      <c r="J27" s="3" t="n">
        <v>170</v>
      </c>
      <c r="K27" s="3" t="n">
        <f aca="false">SUM(C27+D27+E27+F27+G27+H27+I27+J27)</f>
        <v>330</v>
      </c>
    </row>
    <row r="28" customFormat="false" ht="15" hidden="false" customHeight="false" outlineLevel="0" collapsed="false">
      <c r="A28" s="1"/>
      <c r="B28" s="3" t="s">
        <v>35</v>
      </c>
      <c r="C28" s="3"/>
      <c r="D28" s="3"/>
      <c r="E28" s="3"/>
      <c r="F28" s="3" t="n">
        <v>160</v>
      </c>
      <c r="G28" s="3" t="n">
        <v>170</v>
      </c>
      <c r="H28" s="3"/>
      <c r="I28" s="3"/>
      <c r="J28" s="3"/>
      <c r="K28" s="3" t="n">
        <f aca="false">SUM(C28+D28+E28+F28+G28+H28+I28+J28)</f>
        <v>330</v>
      </c>
    </row>
    <row r="29" customFormat="false" ht="15" hidden="false" customHeight="false" outlineLevel="0" collapsed="false">
      <c r="A29" s="1"/>
      <c r="B29" s="3" t="s">
        <v>36</v>
      </c>
      <c r="C29" s="3"/>
      <c r="D29" s="3"/>
      <c r="E29" s="3"/>
      <c r="F29" s="3" t="n">
        <v>160</v>
      </c>
      <c r="G29" s="3" t="n">
        <v>150</v>
      </c>
      <c r="H29" s="3"/>
      <c r="I29" s="3"/>
      <c r="J29" s="3"/>
      <c r="K29" s="3" t="n">
        <f aca="false">SUM(C29+D29+E29+F29+G29+H29+I29+J29)</f>
        <v>310</v>
      </c>
    </row>
    <row r="30" customFormat="false" ht="15" hidden="false" customHeight="false" outlineLevel="0" collapsed="false">
      <c r="A30" s="1"/>
      <c r="B30" s="3" t="s">
        <v>37</v>
      </c>
      <c r="C30" s="3"/>
      <c r="D30" s="3"/>
      <c r="E30" s="3"/>
      <c r="F30" s="3" t="n">
        <v>160</v>
      </c>
      <c r="G30" s="3" t="n">
        <v>140</v>
      </c>
      <c r="H30" s="3"/>
      <c r="I30" s="3"/>
      <c r="J30" s="3"/>
      <c r="K30" s="3" t="n">
        <f aca="false">SUM(C30+D30+E30+F30+G30+H30+I30+J30)</f>
        <v>300</v>
      </c>
    </row>
    <row r="31" customFormat="false" ht="15" hidden="false" customHeight="false" outlineLevel="0" collapsed="false">
      <c r="A31" s="1"/>
      <c r="B31" s="3" t="s">
        <v>38</v>
      </c>
      <c r="C31" s="3"/>
      <c r="D31" s="3"/>
      <c r="E31" s="3"/>
      <c r="F31" s="3" t="n">
        <v>140</v>
      </c>
      <c r="G31" s="3" t="n">
        <v>160</v>
      </c>
      <c r="H31" s="3"/>
      <c r="I31" s="3" t="n">
        <v>-50</v>
      </c>
      <c r="J31" s="3"/>
      <c r="K31" s="3" t="n">
        <f aca="false">SUM(C31+D31+E31+F31+G31+H31+0+J31)</f>
        <v>300</v>
      </c>
    </row>
    <row r="32" customFormat="false" ht="15" hidden="false" customHeight="false" outlineLevel="0" collapsed="false">
      <c r="A32" s="1"/>
      <c r="B32" s="3" t="s">
        <v>39</v>
      </c>
      <c r="C32" s="3"/>
      <c r="D32" s="3" t="n">
        <v>100</v>
      </c>
      <c r="E32" s="3"/>
      <c r="F32" s="3"/>
      <c r="G32" s="3"/>
      <c r="H32" s="3"/>
      <c r="I32" s="3" t="n">
        <v>160</v>
      </c>
      <c r="J32" s="3"/>
      <c r="K32" s="3" t="n">
        <f aca="false">SUM(C32+D32+E32+F32+G32+H32+I32+J32)</f>
        <v>260</v>
      </c>
    </row>
    <row r="33" customFormat="false" ht="15" hidden="false" customHeight="false" outlineLevel="0" collapsed="false">
      <c r="A33" s="1"/>
      <c r="B33" s="3" t="s">
        <v>40</v>
      </c>
      <c r="C33" s="3"/>
      <c r="D33" s="3"/>
      <c r="E33" s="3" t="n">
        <v>250</v>
      </c>
      <c r="F33" s="3"/>
      <c r="G33" s="3"/>
      <c r="H33" s="3"/>
      <c r="I33" s="3"/>
      <c r="J33" s="3"/>
      <c r="K33" s="3" t="n">
        <f aca="false">SUM(C33+D33+E33+F33+G33+H33+I33+J33)</f>
        <v>250</v>
      </c>
    </row>
    <row r="34" customFormat="false" ht="15" hidden="false" customHeight="false" outlineLevel="0" collapsed="false">
      <c r="A34" s="1"/>
      <c r="B34" s="3" t="s">
        <v>41</v>
      </c>
      <c r="C34" s="3"/>
      <c r="D34" s="3"/>
      <c r="E34" s="3" t="n">
        <v>110</v>
      </c>
      <c r="F34" s="3"/>
      <c r="G34" s="3" t="n">
        <v>130</v>
      </c>
      <c r="H34" s="3"/>
      <c r="I34" s="3"/>
      <c r="J34" s="3"/>
      <c r="K34" s="3" t="n">
        <f aca="false">SUM(C34+D34+E34+F34+G34+H34+I34+J34)</f>
        <v>240</v>
      </c>
    </row>
    <row r="35" customFormat="false" ht="15" hidden="false" customHeight="false" outlineLevel="0" collapsed="false">
      <c r="A35" s="1"/>
      <c r="B35" s="3" t="s">
        <v>42</v>
      </c>
      <c r="C35" s="3"/>
      <c r="D35" s="3"/>
      <c r="E35" s="3" t="n">
        <v>100</v>
      </c>
      <c r="F35" s="3"/>
      <c r="G35" s="3"/>
      <c r="H35" s="3" t="n">
        <v>140</v>
      </c>
      <c r="I35" s="3"/>
      <c r="J35" s="3"/>
      <c r="K35" s="3" t="n">
        <f aca="false">SUM(C35+D35+E35+F35+G35+H35+I35+J35)</f>
        <v>240</v>
      </c>
    </row>
    <row r="36" customFormat="false" ht="15" hidden="false" customHeight="false" outlineLevel="0" collapsed="false">
      <c r="A36" s="1"/>
      <c r="B36" s="3" t="s">
        <v>43</v>
      </c>
      <c r="C36" s="3"/>
      <c r="D36" s="3"/>
      <c r="E36" s="3"/>
      <c r="F36" s="3"/>
      <c r="G36" s="3" t="n">
        <v>220</v>
      </c>
      <c r="H36" s="3"/>
      <c r="I36" s="3"/>
      <c r="J36" s="3"/>
      <c r="K36" s="3" t="n">
        <f aca="false">SUM(C36+D36+E36+F36+G36+H36+I36+J36)</f>
        <v>220</v>
      </c>
    </row>
    <row r="37" customFormat="false" ht="15" hidden="false" customHeight="false" outlineLevel="0" collapsed="false">
      <c r="A37" s="1"/>
      <c r="B37" s="3" t="s">
        <v>44</v>
      </c>
      <c r="C37" s="3"/>
      <c r="D37" s="3"/>
      <c r="E37" s="3"/>
      <c r="F37" s="3"/>
      <c r="G37" s="3" t="n">
        <v>220</v>
      </c>
      <c r="H37" s="3"/>
      <c r="I37" s="3"/>
      <c r="J37" s="3"/>
      <c r="K37" s="3" t="n">
        <f aca="false">SUM(C37+D37+E37+F37+G37+H37+I37+J37)</f>
        <v>220</v>
      </c>
    </row>
    <row r="38" customFormat="false" ht="15" hidden="false" customHeight="false" outlineLevel="0" collapsed="false">
      <c r="A38" s="1"/>
      <c r="B38" s="3" t="s">
        <v>45</v>
      </c>
      <c r="C38" s="3"/>
      <c r="D38" s="3"/>
      <c r="E38" s="3"/>
      <c r="F38" s="3"/>
      <c r="G38" s="3"/>
      <c r="H38" s="3" t="n">
        <v>160</v>
      </c>
      <c r="I38" s="3"/>
      <c r="J38" s="3"/>
      <c r="K38" s="3" t="n">
        <f aca="false">SUM(C38+D38+E38+F38+G38+H38+I38+J38)</f>
        <v>160</v>
      </c>
    </row>
    <row r="39" customFormat="false" ht="15" hidden="false" customHeight="false" outlineLevel="0" collapsed="false">
      <c r="A39" s="1"/>
      <c r="B39" s="3" t="s">
        <v>46</v>
      </c>
      <c r="C39" s="3"/>
      <c r="D39" s="3"/>
      <c r="E39" s="3"/>
      <c r="F39" s="3"/>
      <c r="G39" s="3"/>
      <c r="H39" s="3"/>
      <c r="I39" s="3" t="n">
        <v>140</v>
      </c>
      <c r="J39" s="3"/>
      <c r="K39" s="3" t="n">
        <f aca="false">SUM(C39+D39+E39+F39+G39+H39+I39+J39)</f>
        <v>140</v>
      </c>
    </row>
    <row r="40" customFormat="false" ht="15" hidden="false" customHeight="false" outlineLevel="0" collapsed="false">
      <c r="A40" s="1"/>
      <c r="B40" s="3" t="s">
        <v>47</v>
      </c>
      <c r="C40" s="3"/>
      <c r="D40" s="3"/>
      <c r="E40" s="3" t="n">
        <v>130</v>
      </c>
      <c r="F40" s="3"/>
      <c r="G40" s="3"/>
      <c r="H40" s="3"/>
      <c r="I40" s="3"/>
      <c r="J40" s="3"/>
      <c r="K40" s="3" t="n">
        <f aca="false">SUM(C40+D40+E40+F40+G40+H40+I40+J40)</f>
        <v>130</v>
      </c>
    </row>
    <row r="41" customFormat="false" ht="15" hidden="false" customHeight="false" outlineLevel="0" collapsed="false">
      <c r="A41" s="1"/>
      <c r="B41" s="3" t="s">
        <v>48</v>
      </c>
      <c r="C41" s="3"/>
      <c r="D41" s="3"/>
      <c r="E41" s="3"/>
      <c r="F41" s="3" t="n">
        <v>-400</v>
      </c>
      <c r="G41" s="3" t="n">
        <v>120</v>
      </c>
      <c r="H41" s="3"/>
      <c r="I41" s="3"/>
      <c r="J41" s="3"/>
      <c r="K41" s="3" t="n">
        <v>120</v>
      </c>
    </row>
    <row r="42" customFormat="false" ht="15" hidden="false" customHeight="false" outlineLevel="0" collapsed="false">
      <c r="A42" s="1"/>
      <c r="B42" s="3" t="s">
        <v>49</v>
      </c>
      <c r="C42" s="3"/>
      <c r="D42" s="3"/>
      <c r="E42" s="3" t="n">
        <v>90</v>
      </c>
      <c r="F42" s="3"/>
      <c r="G42" s="3"/>
      <c r="H42" s="3"/>
      <c r="I42" s="3"/>
      <c r="J42" s="3"/>
      <c r="K42" s="3" t="n">
        <f aca="false">SUM(C42+D42+E42+F42+G42+H42+I42+J42)</f>
        <v>90</v>
      </c>
    </row>
    <row r="43" customFormat="false" ht="15" hidden="false" customHeight="false" outlineLevel="0" collapsed="false">
      <c r="A43" s="1"/>
      <c r="B43" s="3" t="s">
        <v>50</v>
      </c>
      <c r="C43" s="3"/>
      <c r="D43" s="3"/>
      <c r="E43" s="3"/>
      <c r="F43" s="3"/>
      <c r="G43" s="3" t="n">
        <v>70</v>
      </c>
      <c r="H43" s="3"/>
      <c r="I43" s="3"/>
      <c r="J43" s="3"/>
      <c r="K43" s="3" t="n">
        <v>70</v>
      </c>
    </row>
    <row r="44" customFormat="false" ht="15" hidden="false" customHeight="false" outlineLevel="0" collapsed="false">
      <c r="A44" s="1"/>
      <c r="B44" s="3" t="s">
        <v>51</v>
      </c>
      <c r="C44" s="3"/>
      <c r="D44" s="3"/>
      <c r="E44" s="3"/>
      <c r="F44" s="3"/>
      <c r="G44" s="3" t="n">
        <v>40</v>
      </c>
      <c r="H44" s="3"/>
      <c r="I44" s="3"/>
      <c r="J44" s="3"/>
      <c r="K44" s="3" t="n">
        <f aca="false">SUM(C44+D44+E44+F44+G44+H44+I44+J44)</f>
        <v>40</v>
      </c>
    </row>
    <row r="45" customFormat="false" ht="15" hidden="false" customHeight="false" outlineLevel="0" collapsed="false">
      <c r="A45" s="1"/>
      <c r="B45" s="3" t="s">
        <v>52</v>
      </c>
      <c r="C45" s="3"/>
      <c r="D45" s="3"/>
      <c r="E45" s="3"/>
      <c r="F45" s="3"/>
      <c r="G45" s="3" t="n">
        <v>40</v>
      </c>
      <c r="H45" s="3"/>
      <c r="I45" s="3"/>
      <c r="J45" s="3"/>
      <c r="K45" s="3" t="n">
        <f aca="false">SUM(C45+D45+E45+F45+G45+H45+I45+J45)</f>
        <v>40</v>
      </c>
    </row>
    <row r="46" customFormat="false" ht="15" hidden="false" customHeight="false" outlineLevel="0" collapsed="false">
      <c r="A46" s="1"/>
      <c r="B46" s="3" t="s">
        <v>53</v>
      </c>
      <c r="C46" s="3"/>
      <c r="D46" s="3"/>
      <c r="E46" s="3"/>
      <c r="F46" s="3"/>
      <c r="G46" s="3" t="n">
        <v>40</v>
      </c>
      <c r="H46" s="3"/>
      <c r="I46" s="3"/>
      <c r="J46" s="3"/>
      <c r="K46" s="3" t="n">
        <f aca="false">SUM(C46+D46+E46+F46+G46+H46+I46+J46)</f>
        <v>40</v>
      </c>
    </row>
    <row r="47" customFormat="false" ht="15" hidden="false" customHeight="false" outlineLevel="0" collapsed="false">
      <c r="A47" s="1"/>
      <c r="B47" s="3" t="s">
        <v>54</v>
      </c>
      <c r="C47" s="3"/>
      <c r="D47" s="3"/>
      <c r="E47" s="3"/>
      <c r="F47" s="3"/>
      <c r="G47" s="3" t="n">
        <v>40</v>
      </c>
      <c r="H47" s="3"/>
      <c r="I47" s="3"/>
      <c r="J47" s="3"/>
      <c r="K47" s="3" t="n">
        <f aca="false">SUM(C47+D47+E47+F47+G47+H47+I47+J47)</f>
        <v>40</v>
      </c>
    </row>
    <row r="48" customFormat="false" ht="15" hidden="false" customHeight="false" outlineLevel="0" collapsed="false">
      <c r="A48" s="1"/>
      <c r="B48" s="3" t="s">
        <v>55</v>
      </c>
      <c r="C48" s="3"/>
      <c r="D48" s="3"/>
      <c r="E48" s="3"/>
      <c r="F48" s="3"/>
      <c r="G48" s="3" t="n">
        <v>-20</v>
      </c>
      <c r="H48" s="3"/>
      <c r="I48" s="3"/>
      <c r="J48" s="3"/>
      <c r="K48" s="3" t="n">
        <v>0</v>
      </c>
    </row>
    <row r="49" customFormat="false" ht="15" hidden="false" customHeight="false" outlineLevel="0" collapsed="false">
      <c r="A49" s="1"/>
      <c r="B49" s="3" t="s">
        <v>56</v>
      </c>
      <c r="C49" s="3"/>
      <c r="D49" s="3"/>
      <c r="E49" s="3"/>
      <c r="F49" s="3"/>
      <c r="G49" s="3" t="n">
        <v>-20</v>
      </c>
      <c r="H49" s="3"/>
      <c r="I49" s="3"/>
      <c r="J49" s="3"/>
      <c r="K49" s="3" t="n">
        <v>0</v>
      </c>
    </row>
    <row r="50" customFormat="false" ht="15" hidden="false" customHeight="false" outlineLevel="0" collapsed="false">
      <c r="A50" s="1"/>
      <c r="B50" s="3" t="s">
        <v>57</v>
      </c>
      <c r="C50" s="3"/>
      <c r="D50" s="3"/>
      <c r="E50" s="3"/>
      <c r="F50" s="3"/>
      <c r="G50" s="3" t="n">
        <v>-20</v>
      </c>
      <c r="H50" s="3"/>
      <c r="I50" s="3"/>
      <c r="J50" s="3"/>
      <c r="K50" s="3" t="n">
        <v>0</v>
      </c>
    </row>
    <row r="51" customFormat="false" ht="15" hidden="false" customHeight="false" outlineLevel="0" collapsed="false">
      <c r="A51" s="1"/>
      <c r="B51" s="3" t="s">
        <v>58</v>
      </c>
      <c r="C51" s="3"/>
      <c r="D51" s="3"/>
      <c r="E51" s="3"/>
      <c r="F51" s="3"/>
      <c r="G51" s="3"/>
      <c r="H51" s="3"/>
      <c r="I51" s="3"/>
      <c r="J51" s="3" t="n">
        <v>-460</v>
      </c>
      <c r="K51" s="3" t="n">
        <v>0</v>
      </c>
    </row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Q12" activeCellId="1" sqref="A:A Q12"/>
    </sheetView>
  </sheetViews>
  <sheetFormatPr defaultColWidth="8.59765625" defaultRowHeight="15" customHeight="true" zeroHeight="false" outlineLevelRow="0" outlineLevelCol="0"/>
  <cols>
    <col collapsed="false" customWidth="true" hidden="false" outlineLevel="0" max="11" min="11" style="0" width="11.72"/>
  </cols>
  <sheetData>
    <row r="1" customFormat="false" ht="15" hidden="false" customHeight="false" outlineLevel="0" collapsed="false">
      <c r="A1" s="0" t="s">
        <v>59</v>
      </c>
      <c r="B1" s="0" t="s">
        <v>60</v>
      </c>
      <c r="C1" s="0" t="s">
        <v>61</v>
      </c>
      <c r="D1" s="0" t="s">
        <v>62</v>
      </c>
      <c r="E1" s="0" t="s">
        <v>63</v>
      </c>
      <c r="F1" s="0" t="s">
        <v>64</v>
      </c>
      <c r="G1" s="0" t="s">
        <v>65</v>
      </c>
      <c r="H1" s="0" t="s">
        <v>66</v>
      </c>
      <c r="I1" s="0" t="s">
        <v>67</v>
      </c>
      <c r="J1" s="0" t="s">
        <v>68</v>
      </c>
      <c r="K1" s="0" t="s">
        <v>69</v>
      </c>
      <c r="L1" s="0" t="s">
        <v>70</v>
      </c>
    </row>
    <row r="2" customFormat="false" ht="15" hidden="false" customHeight="false" outlineLevel="0" collapsed="false">
      <c r="A2" s="0" t="n">
        <v>1</v>
      </c>
      <c r="B2" s="0" t="s">
        <v>71</v>
      </c>
      <c r="C2" s="0" t="s">
        <v>72</v>
      </c>
      <c r="D2" s="0" t="s">
        <v>73</v>
      </c>
      <c r="E2" s="4" t="n">
        <v>1.98333333333333</v>
      </c>
      <c r="F2" s="0" t="n">
        <v>250</v>
      </c>
      <c r="G2" s="0" t="n">
        <v>250</v>
      </c>
      <c r="H2" s="0" t="n">
        <v>11.31</v>
      </c>
      <c r="I2" s="0" t="s">
        <v>74</v>
      </c>
      <c r="J2" s="0" t="s">
        <v>75</v>
      </c>
      <c r="K2" s="5" t="n">
        <v>45752</v>
      </c>
      <c r="L2" s="0" t="n">
        <v>51</v>
      </c>
    </row>
    <row r="3" customFormat="false" ht="15" hidden="false" customHeight="false" outlineLevel="0" collapsed="false">
      <c r="A3" s="0" t="n">
        <v>2</v>
      </c>
      <c r="B3" s="0" t="s">
        <v>76</v>
      </c>
      <c r="C3" s="0" t="s">
        <v>77</v>
      </c>
      <c r="D3" s="0" t="s">
        <v>73</v>
      </c>
      <c r="E3" s="4" t="n">
        <v>2.11111111111111</v>
      </c>
      <c r="F3" s="0" t="n">
        <v>250</v>
      </c>
      <c r="G3" s="0" t="n">
        <v>250</v>
      </c>
      <c r="H3" s="0" t="n">
        <v>10.95</v>
      </c>
      <c r="I3" s="0" t="s">
        <v>78</v>
      </c>
      <c r="J3" s="0" t="s">
        <v>79</v>
      </c>
      <c r="K3" s="5" t="n">
        <v>45782</v>
      </c>
      <c r="L3" s="0" t="n">
        <v>7</v>
      </c>
    </row>
    <row r="4" customFormat="false" ht="15" hidden="false" customHeight="false" outlineLevel="0" collapsed="false">
      <c r="A4" s="0" t="n">
        <v>3</v>
      </c>
      <c r="B4" s="0" t="s">
        <v>80</v>
      </c>
      <c r="C4" s="0" t="s">
        <v>81</v>
      </c>
      <c r="D4" s="0" t="s">
        <v>82</v>
      </c>
      <c r="E4" s="4" t="n">
        <v>2.11319444444444</v>
      </c>
      <c r="F4" s="0" t="n">
        <v>250</v>
      </c>
      <c r="G4" s="0" t="n">
        <v>250</v>
      </c>
      <c r="H4" s="0" t="n">
        <v>10.99</v>
      </c>
      <c r="I4" s="0" t="s">
        <v>83</v>
      </c>
      <c r="J4" s="0" t="s">
        <v>84</v>
      </c>
      <c r="K4" s="5" t="n">
        <v>45803</v>
      </c>
      <c r="L4" s="0" t="n">
        <v>35</v>
      </c>
    </row>
    <row r="5" customFormat="false" ht="15" hidden="false" customHeight="false" outlineLevel="0" collapsed="false">
      <c r="A5" s="0" t="n">
        <v>4</v>
      </c>
      <c r="B5" s="0" t="s">
        <v>85</v>
      </c>
      <c r="C5" s="0" t="s">
        <v>86</v>
      </c>
      <c r="D5" s="0" t="s">
        <v>73</v>
      </c>
      <c r="E5" s="4" t="n">
        <v>2.16875</v>
      </c>
      <c r="F5" s="0" t="n">
        <v>250</v>
      </c>
      <c r="G5" s="0" t="n">
        <v>250</v>
      </c>
      <c r="H5" s="0" t="n">
        <v>10.92</v>
      </c>
      <c r="I5" s="0" t="s">
        <v>87</v>
      </c>
      <c r="J5" s="0" t="s">
        <v>88</v>
      </c>
      <c r="K5" s="5" t="n">
        <v>45770</v>
      </c>
      <c r="L5" s="0" t="n">
        <v>8</v>
      </c>
    </row>
    <row r="6" customFormat="false" ht="15" hidden="false" customHeight="false" outlineLevel="0" collapsed="false">
      <c r="A6" s="0" t="n">
        <v>5</v>
      </c>
      <c r="B6" s="0" t="s">
        <v>89</v>
      </c>
      <c r="C6" s="0" t="s">
        <v>90</v>
      </c>
      <c r="D6" s="0" t="s">
        <v>91</v>
      </c>
      <c r="E6" s="4" t="n">
        <v>2.23125</v>
      </c>
      <c r="F6" s="0" t="n">
        <v>250</v>
      </c>
      <c r="G6" s="0" t="n">
        <v>250</v>
      </c>
      <c r="H6" s="0" t="n">
        <v>11.12</v>
      </c>
      <c r="I6" s="0" t="s">
        <v>92</v>
      </c>
      <c r="J6" s="0" t="s">
        <v>93</v>
      </c>
      <c r="K6" s="5" t="n">
        <v>45803</v>
      </c>
      <c r="L6" s="0" t="n">
        <v>43</v>
      </c>
    </row>
    <row r="7" customFormat="false" ht="15" hidden="false" customHeight="false" outlineLevel="0" collapsed="false">
      <c r="A7" s="0" t="n">
        <v>6</v>
      </c>
      <c r="B7" s="0" t="s">
        <v>94</v>
      </c>
      <c r="C7" s="0" t="s">
        <v>72</v>
      </c>
      <c r="D7" s="0" t="s">
        <v>73</v>
      </c>
      <c r="E7" s="4" t="n">
        <v>2.25347222222222</v>
      </c>
      <c r="F7" s="0" t="n">
        <v>250</v>
      </c>
      <c r="G7" s="0" t="n">
        <v>250</v>
      </c>
      <c r="H7" s="0" t="n">
        <v>10.95</v>
      </c>
      <c r="I7" s="0" t="s">
        <v>95</v>
      </c>
      <c r="J7" s="0" t="s">
        <v>96</v>
      </c>
      <c r="K7" s="5" t="n">
        <v>45760</v>
      </c>
      <c r="L7" s="0" t="n">
        <v>23</v>
      </c>
    </row>
    <row r="8" customFormat="false" ht="15" hidden="false" customHeight="false" outlineLevel="0" collapsed="false">
      <c r="A8" s="0" t="n">
        <v>7</v>
      </c>
      <c r="B8" s="0" t="s">
        <v>85</v>
      </c>
      <c r="C8" s="0" t="s">
        <v>86</v>
      </c>
      <c r="D8" s="0" t="s">
        <v>73</v>
      </c>
      <c r="E8" s="4" t="n">
        <v>2.28472222222222</v>
      </c>
      <c r="F8" s="0" t="n">
        <v>250</v>
      </c>
      <c r="G8" s="0" t="n">
        <v>250</v>
      </c>
      <c r="H8" s="0" t="n">
        <v>10.97</v>
      </c>
      <c r="I8" s="0" t="s">
        <v>97</v>
      </c>
      <c r="J8" s="0" t="s">
        <v>98</v>
      </c>
      <c r="K8" s="5" t="n">
        <v>45760</v>
      </c>
      <c r="L8" s="0" t="n">
        <v>28</v>
      </c>
    </row>
    <row r="9" customFormat="false" ht="15" hidden="false" customHeight="false" outlineLevel="0" collapsed="false">
      <c r="A9" s="0" t="n">
        <v>8</v>
      </c>
      <c r="B9" s="0" t="s">
        <v>99</v>
      </c>
      <c r="C9" s="0" t="s">
        <v>100</v>
      </c>
      <c r="D9" s="0" t="s">
        <v>73</v>
      </c>
      <c r="E9" s="4" t="n">
        <v>2.42361111111111</v>
      </c>
      <c r="F9" s="0" t="n">
        <v>250</v>
      </c>
      <c r="G9" s="0" t="n">
        <v>250</v>
      </c>
      <c r="H9" s="0" t="n">
        <v>11.64</v>
      </c>
      <c r="I9" s="0" t="s">
        <v>101</v>
      </c>
      <c r="J9" s="0" t="s">
        <v>102</v>
      </c>
      <c r="K9" s="5" t="n">
        <v>45793</v>
      </c>
      <c r="L9" s="0" t="n">
        <v>13</v>
      </c>
    </row>
    <row r="10" customFormat="false" ht="15" hidden="false" customHeight="false" outlineLevel="0" collapsed="false">
      <c r="A10" s="0" t="n">
        <v>9</v>
      </c>
      <c r="B10" s="0" t="s">
        <v>103</v>
      </c>
      <c r="C10" s="0" t="s">
        <v>104</v>
      </c>
      <c r="D10" s="0" t="s">
        <v>73</v>
      </c>
      <c r="E10" s="4" t="n">
        <v>2.47777777777778</v>
      </c>
      <c r="F10" s="0" t="n">
        <v>250</v>
      </c>
      <c r="G10" s="0" t="n">
        <v>250</v>
      </c>
      <c r="H10" s="0" t="n">
        <v>11.08</v>
      </c>
      <c r="I10" s="0" t="s">
        <v>105</v>
      </c>
      <c r="J10" s="0" t="s">
        <v>106</v>
      </c>
      <c r="K10" s="5" t="n">
        <v>45806</v>
      </c>
      <c r="L10" s="0" t="n">
        <v>15</v>
      </c>
    </row>
    <row r="11" customFormat="false" ht="15" hidden="false" customHeight="false" outlineLevel="0" collapsed="false">
      <c r="A11" s="0" t="n">
        <v>10</v>
      </c>
      <c r="B11" s="0" t="s">
        <v>107</v>
      </c>
      <c r="C11" s="0" t="s">
        <v>108</v>
      </c>
      <c r="D11" s="0" t="s">
        <v>109</v>
      </c>
      <c r="E11" s="4" t="n">
        <v>2.47013888888889</v>
      </c>
      <c r="F11" s="0" t="n">
        <v>240</v>
      </c>
      <c r="G11" s="0" t="n">
        <v>240</v>
      </c>
      <c r="H11" s="0" t="n">
        <v>10.54</v>
      </c>
      <c r="I11" s="0" t="s">
        <v>110</v>
      </c>
      <c r="J11" s="0" t="s">
        <v>111</v>
      </c>
      <c r="K11" s="5" t="n">
        <v>45783</v>
      </c>
      <c r="L11" s="0" t="n">
        <v>46</v>
      </c>
    </row>
    <row r="12" customFormat="false" ht="15" hidden="false" customHeight="false" outlineLevel="0" collapsed="false">
      <c r="A12" s="0" t="n">
        <v>11</v>
      </c>
      <c r="B12" s="0" t="s">
        <v>76</v>
      </c>
      <c r="C12" s="0" t="s">
        <v>77</v>
      </c>
      <c r="D12" s="0" t="s">
        <v>73</v>
      </c>
      <c r="E12" s="6" t="n">
        <v>0.0420717592592593</v>
      </c>
      <c r="F12" s="0" t="n">
        <v>250</v>
      </c>
      <c r="G12" s="0" t="n">
        <v>240</v>
      </c>
      <c r="H12" s="0" t="n">
        <v>11.03</v>
      </c>
      <c r="I12" s="0" t="s">
        <v>112</v>
      </c>
      <c r="J12" s="0" t="s">
        <v>113</v>
      </c>
      <c r="K12" s="5" t="n">
        <v>45753</v>
      </c>
      <c r="L12" s="0" t="n">
        <v>50</v>
      </c>
    </row>
    <row r="13" customFormat="false" ht="15" hidden="false" customHeight="false" outlineLevel="0" collapsed="false">
      <c r="A13" s="0" t="n">
        <v>12</v>
      </c>
      <c r="B13" s="0" t="s">
        <v>114</v>
      </c>
      <c r="C13" s="0" t="s">
        <v>115</v>
      </c>
      <c r="D13" s="0" t="s">
        <v>116</v>
      </c>
      <c r="E13" s="4" t="n">
        <v>2.30486111111111</v>
      </c>
      <c r="F13" s="0" t="n">
        <v>230</v>
      </c>
      <c r="G13" s="0" t="n">
        <v>230</v>
      </c>
      <c r="H13" s="0" t="n">
        <v>11.49</v>
      </c>
      <c r="I13" s="0" t="s">
        <v>117</v>
      </c>
      <c r="J13" s="0" t="s">
        <v>118</v>
      </c>
      <c r="K13" s="5" t="n">
        <v>45802</v>
      </c>
      <c r="L13" s="0" t="n">
        <v>49</v>
      </c>
    </row>
    <row r="14" customFormat="false" ht="15" hidden="false" customHeight="false" outlineLevel="0" collapsed="false">
      <c r="A14" s="0" t="n">
        <v>13</v>
      </c>
      <c r="B14" s="0" t="s">
        <v>119</v>
      </c>
      <c r="C14" s="0" t="s">
        <v>120</v>
      </c>
      <c r="D14" s="0" t="s">
        <v>116</v>
      </c>
      <c r="E14" s="4" t="n">
        <v>2.43333333333333</v>
      </c>
      <c r="F14" s="0" t="n">
        <v>230</v>
      </c>
      <c r="G14" s="0" t="n">
        <v>230</v>
      </c>
      <c r="H14" s="0" t="n">
        <v>10.21</v>
      </c>
      <c r="I14" s="0" t="s">
        <v>121</v>
      </c>
      <c r="J14" s="0" t="s">
        <v>122</v>
      </c>
      <c r="K14" s="5" t="n">
        <v>45792</v>
      </c>
      <c r="L14" s="0" t="n">
        <v>3</v>
      </c>
    </row>
    <row r="15" customFormat="false" ht="15" hidden="false" customHeight="false" outlineLevel="0" collapsed="false">
      <c r="A15" s="0" t="n">
        <v>14</v>
      </c>
      <c r="B15" s="0" t="s">
        <v>123</v>
      </c>
      <c r="C15" s="0" t="s">
        <v>124</v>
      </c>
      <c r="D15" s="0" t="s">
        <v>116</v>
      </c>
      <c r="E15" s="4" t="n">
        <v>2.44861111111111</v>
      </c>
      <c r="F15" s="0" t="n">
        <v>230</v>
      </c>
      <c r="G15" s="0" t="n">
        <v>230</v>
      </c>
      <c r="H15" s="0" t="n">
        <v>10.37</v>
      </c>
      <c r="I15" s="0" t="s">
        <v>125</v>
      </c>
      <c r="J15" s="0" t="s">
        <v>126</v>
      </c>
      <c r="K15" s="5" t="n">
        <v>45803</v>
      </c>
      <c r="L15" s="0" t="n">
        <v>31</v>
      </c>
    </row>
    <row r="16" customFormat="false" ht="15" hidden="false" customHeight="false" outlineLevel="0" collapsed="false">
      <c r="A16" s="0" t="n">
        <v>15</v>
      </c>
      <c r="B16" s="0" t="s">
        <v>127</v>
      </c>
      <c r="C16" s="0" t="s">
        <v>128</v>
      </c>
      <c r="D16" s="0" t="s">
        <v>116</v>
      </c>
      <c r="E16" s="4" t="n">
        <v>2.44930555555556</v>
      </c>
      <c r="F16" s="0" t="n">
        <v>230</v>
      </c>
      <c r="G16" s="0" t="n">
        <v>230</v>
      </c>
      <c r="H16" s="0" t="n">
        <v>10.5</v>
      </c>
      <c r="I16" s="0" t="s">
        <v>129</v>
      </c>
      <c r="J16" s="0" t="s">
        <v>130</v>
      </c>
      <c r="K16" s="5" t="n">
        <v>45803</v>
      </c>
      <c r="L16" s="0" t="n">
        <v>29</v>
      </c>
    </row>
    <row r="17" customFormat="false" ht="15" hidden="false" customHeight="false" outlineLevel="0" collapsed="false">
      <c r="A17" s="0" t="n">
        <v>16</v>
      </c>
      <c r="B17" s="0" t="s">
        <v>131</v>
      </c>
      <c r="C17" s="0" t="s">
        <v>72</v>
      </c>
      <c r="D17" s="0" t="s">
        <v>132</v>
      </c>
      <c r="E17" s="6" t="n">
        <v>0.0416782407407407</v>
      </c>
      <c r="F17" s="0" t="n">
        <v>230</v>
      </c>
      <c r="G17" s="0" t="n">
        <v>220</v>
      </c>
      <c r="H17" s="0" t="n">
        <v>10.37</v>
      </c>
      <c r="I17" s="0" t="s">
        <v>133</v>
      </c>
      <c r="J17" s="0" t="s">
        <v>134</v>
      </c>
      <c r="K17" s="5" t="n">
        <v>45805</v>
      </c>
      <c r="L17" s="0" t="n">
        <v>16</v>
      </c>
    </row>
    <row r="18" customFormat="false" ht="15" hidden="false" customHeight="false" outlineLevel="0" collapsed="false">
      <c r="A18" s="0" t="n">
        <v>17</v>
      </c>
      <c r="B18" s="0" t="s">
        <v>135</v>
      </c>
      <c r="C18" s="0" t="s">
        <v>136</v>
      </c>
      <c r="D18" s="0" t="s">
        <v>137</v>
      </c>
      <c r="E18" s="4" t="n">
        <v>2.10416666666667</v>
      </c>
      <c r="F18" s="0" t="n">
        <v>210</v>
      </c>
      <c r="G18" s="0" t="n">
        <v>210</v>
      </c>
      <c r="H18" s="0" t="n">
        <v>8.52</v>
      </c>
      <c r="I18" s="0" t="s">
        <v>138</v>
      </c>
      <c r="J18" s="0" t="s">
        <v>139</v>
      </c>
      <c r="K18" s="5" t="n">
        <v>45777</v>
      </c>
      <c r="L18" s="0" t="n">
        <v>4</v>
      </c>
    </row>
    <row r="19" customFormat="false" ht="15" hidden="false" customHeight="false" outlineLevel="0" collapsed="false">
      <c r="A19" s="0" t="n">
        <v>18</v>
      </c>
      <c r="B19" s="0" t="s">
        <v>107</v>
      </c>
      <c r="C19" s="0" t="s">
        <v>108</v>
      </c>
      <c r="D19" s="0" t="s">
        <v>137</v>
      </c>
      <c r="E19" s="4" t="n">
        <v>2.19305555555556</v>
      </c>
      <c r="F19" s="0" t="n">
        <v>210</v>
      </c>
      <c r="G19" s="0" t="n">
        <v>210</v>
      </c>
      <c r="H19" s="0" t="n">
        <v>8.88</v>
      </c>
      <c r="I19" s="0" t="s">
        <v>140</v>
      </c>
      <c r="J19" s="0" t="s">
        <v>141</v>
      </c>
      <c r="K19" s="5" t="n">
        <v>45775</v>
      </c>
      <c r="L19" s="0" t="n">
        <v>26</v>
      </c>
    </row>
    <row r="20" customFormat="false" ht="15" hidden="false" customHeight="false" outlineLevel="0" collapsed="false">
      <c r="A20" s="0" t="n">
        <v>19</v>
      </c>
      <c r="B20" s="0" t="s">
        <v>131</v>
      </c>
      <c r="C20" s="0" t="s">
        <v>72</v>
      </c>
      <c r="D20" s="0" t="s">
        <v>137</v>
      </c>
      <c r="E20" s="4" t="n">
        <v>2.22361111111111</v>
      </c>
      <c r="F20" s="0" t="n">
        <v>210</v>
      </c>
      <c r="G20" s="0" t="n">
        <v>210</v>
      </c>
      <c r="H20" s="0" t="n">
        <v>8.63</v>
      </c>
      <c r="I20" s="0" t="s">
        <v>142</v>
      </c>
      <c r="J20" s="0" t="s">
        <v>143</v>
      </c>
      <c r="K20" s="5" t="n">
        <v>45752</v>
      </c>
      <c r="L20" s="0" t="n">
        <v>10</v>
      </c>
    </row>
    <row r="21" customFormat="false" ht="15" hidden="false" customHeight="false" outlineLevel="0" collapsed="false">
      <c r="A21" s="0" t="n">
        <v>20</v>
      </c>
      <c r="B21" s="0" t="s">
        <v>103</v>
      </c>
      <c r="C21" s="0" t="s">
        <v>104</v>
      </c>
      <c r="D21" s="0" t="s">
        <v>137</v>
      </c>
      <c r="E21" s="4" t="n">
        <v>2.24652777777778</v>
      </c>
      <c r="F21" s="0" t="n">
        <v>210</v>
      </c>
      <c r="G21" s="0" t="n">
        <v>210</v>
      </c>
      <c r="H21" s="0" t="n">
        <v>9.27</v>
      </c>
      <c r="I21" s="0" t="s">
        <v>144</v>
      </c>
      <c r="J21" s="0" t="s">
        <v>145</v>
      </c>
      <c r="K21" s="5" t="n">
        <v>45794</v>
      </c>
      <c r="L21" s="0" t="n">
        <v>24</v>
      </c>
    </row>
    <row r="22" customFormat="false" ht="15" hidden="false" customHeight="false" outlineLevel="0" collapsed="false">
      <c r="A22" s="0" t="n">
        <v>21</v>
      </c>
      <c r="B22" s="0" t="s">
        <v>146</v>
      </c>
      <c r="C22" s="0" t="s">
        <v>147</v>
      </c>
      <c r="D22" s="0" t="s">
        <v>148</v>
      </c>
      <c r="E22" s="4" t="n">
        <v>2.27916666666667</v>
      </c>
      <c r="F22" s="0" t="n">
        <v>210</v>
      </c>
      <c r="G22" s="0" t="n">
        <v>210</v>
      </c>
      <c r="H22" s="0" t="n">
        <v>9.97</v>
      </c>
      <c r="I22" s="0" t="s">
        <v>149</v>
      </c>
      <c r="J22" s="0" t="s">
        <v>150</v>
      </c>
      <c r="K22" s="5" t="n">
        <v>45797</v>
      </c>
      <c r="L22" s="0" t="n">
        <v>54</v>
      </c>
    </row>
    <row r="23" customFormat="false" ht="15" hidden="false" customHeight="false" outlineLevel="0" collapsed="false">
      <c r="A23" s="0" t="n">
        <v>22</v>
      </c>
      <c r="B23" s="0" t="s">
        <v>119</v>
      </c>
      <c r="C23" s="0" t="s">
        <v>120</v>
      </c>
      <c r="D23" s="0" t="s">
        <v>137</v>
      </c>
      <c r="E23" s="4" t="n">
        <v>2.44513888888889</v>
      </c>
      <c r="F23" s="0" t="n">
        <v>210</v>
      </c>
      <c r="G23" s="0" t="n">
        <v>210</v>
      </c>
      <c r="H23" s="0" t="n">
        <v>9.49</v>
      </c>
      <c r="I23" s="0" t="s">
        <v>151</v>
      </c>
      <c r="J23" s="0" t="s">
        <v>152</v>
      </c>
      <c r="K23" s="5" t="n">
        <v>45764</v>
      </c>
      <c r="L23" s="0" t="n">
        <v>48</v>
      </c>
    </row>
    <row r="24" customFormat="false" ht="15" hidden="false" customHeight="false" outlineLevel="0" collapsed="false">
      <c r="A24" s="0" t="n">
        <v>23</v>
      </c>
      <c r="B24" s="0" t="s">
        <v>80</v>
      </c>
      <c r="C24" s="0" t="s">
        <v>81</v>
      </c>
      <c r="D24" s="0" t="s">
        <v>153</v>
      </c>
      <c r="E24" s="4" t="n">
        <v>2.11666666666667</v>
      </c>
      <c r="F24" s="0" t="n">
        <v>200</v>
      </c>
      <c r="G24" s="0" t="n">
        <v>200</v>
      </c>
      <c r="H24" s="0" t="n">
        <v>11.1</v>
      </c>
      <c r="I24" s="0" t="s">
        <v>154</v>
      </c>
      <c r="J24" s="0" t="s">
        <v>155</v>
      </c>
      <c r="K24" s="5" t="n">
        <v>45803</v>
      </c>
      <c r="L24" s="0" t="n">
        <v>32</v>
      </c>
    </row>
    <row r="25" customFormat="false" ht="15" hidden="false" customHeight="false" outlineLevel="0" collapsed="false">
      <c r="A25" s="0" t="n">
        <v>24</v>
      </c>
      <c r="B25" s="0" t="s">
        <v>135</v>
      </c>
      <c r="C25" s="0" t="s">
        <v>136</v>
      </c>
      <c r="D25" s="0" t="s">
        <v>156</v>
      </c>
      <c r="E25" s="4" t="n">
        <v>2.46388888888889</v>
      </c>
      <c r="F25" s="0" t="n">
        <v>200</v>
      </c>
      <c r="G25" s="0" t="n">
        <v>200</v>
      </c>
      <c r="H25" s="0" t="n">
        <v>8.45</v>
      </c>
      <c r="I25" s="0" t="s">
        <v>157</v>
      </c>
      <c r="J25" s="0" t="s">
        <v>158</v>
      </c>
      <c r="K25" s="5" t="n">
        <v>45769</v>
      </c>
      <c r="L25" s="0" t="n">
        <v>20</v>
      </c>
    </row>
    <row r="26" customFormat="false" ht="15" hidden="false" customHeight="false" outlineLevel="0" collapsed="false">
      <c r="A26" s="0" t="n">
        <v>25</v>
      </c>
      <c r="B26" s="0" t="s">
        <v>131</v>
      </c>
      <c r="C26" s="0" t="s">
        <v>72</v>
      </c>
      <c r="D26" s="0" t="s">
        <v>159</v>
      </c>
      <c r="E26" s="4" t="n">
        <v>2.35486111111111</v>
      </c>
      <c r="F26" s="0" t="n">
        <v>190</v>
      </c>
      <c r="G26" s="0" t="n">
        <v>190</v>
      </c>
      <c r="H26" s="0" t="n">
        <v>8.16</v>
      </c>
      <c r="I26" s="0" t="s">
        <v>160</v>
      </c>
      <c r="J26" s="0" t="s">
        <v>161</v>
      </c>
      <c r="K26" s="5" t="n">
        <v>45760</v>
      </c>
      <c r="L26" s="0" t="n">
        <v>21</v>
      </c>
    </row>
    <row r="27" customFormat="false" ht="15" hidden="false" customHeight="false" outlineLevel="0" collapsed="false">
      <c r="A27" s="0" t="n">
        <v>25</v>
      </c>
      <c r="B27" s="0" t="s">
        <v>162</v>
      </c>
      <c r="C27" s="0" t="s">
        <v>72</v>
      </c>
      <c r="D27" s="0" t="s">
        <v>159</v>
      </c>
      <c r="E27" s="4" t="n">
        <v>2.35486111111111</v>
      </c>
      <c r="F27" s="0" t="n">
        <v>190</v>
      </c>
      <c r="G27" s="0" t="n">
        <v>190</v>
      </c>
      <c r="H27" s="0" t="n">
        <v>8.16</v>
      </c>
      <c r="I27" s="0" t="s">
        <v>160</v>
      </c>
      <c r="J27" s="0" t="s">
        <v>161</v>
      </c>
      <c r="K27" s="5" t="n">
        <v>45760</v>
      </c>
      <c r="L27" s="0" t="n">
        <v>21</v>
      </c>
    </row>
    <row r="28" customFormat="false" ht="15" hidden="false" customHeight="false" outlineLevel="0" collapsed="false">
      <c r="A28" s="0" t="n">
        <v>26</v>
      </c>
      <c r="B28" s="0" t="s">
        <v>80</v>
      </c>
      <c r="C28" s="0" t="s">
        <v>81</v>
      </c>
      <c r="D28" s="0" t="s">
        <v>163</v>
      </c>
      <c r="E28" s="6" t="n">
        <v>0.0424421296296296</v>
      </c>
      <c r="F28" s="0" t="n">
        <v>210</v>
      </c>
      <c r="G28" s="0" t="n">
        <v>190</v>
      </c>
      <c r="H28" s="0" t="n">
        <v>12.21</v>
      </c>
      <c r="I28" s="0" t="s">
        <v>164</v>
      </c>
      <c r="J28" s="0" t="s">
        <v>165</v>
      </c>
      <c r="K28" s="5" t="n">
        <v>45788</v>
      </c>
      <c r="L28" s="0" t="n">
        <v>17</v>
      </c>
    </row>
    <row r="29" customFormat="false" ht="15" hidden="false" customHeight="false" outlineLevel="0" collapsed="false">
      <c r="A29" s="0" t="n">
        <v>27</v>
      </c>
      <c r="B29" s="0" t="s">
        <v>89</v>
      </c>
      <c r="C29" s="0" t="s">
        <v>90</v>
      </c>
      <c r="D29" s="0" t="s">
        <v>166</v>
      </c>
      <c r="E29" s="4" t="n">
        <v>2.33402777777778</v>
      </c>
      <c r="F29" s="0" t="n">
        <v>180</v>
      </c>
      <c r="G29" s="0" t="n">
        <v>180</v>
      </c>
      <c r="H29" s="0" t="n">
        <v>9.03</v>
      </c>
      <c r="I29" s="0" t="s">
        <v>167</v>
      </c>
      <c r="J29" s="0" t="s">
        <v>168</v>
      </c>
      <c r="K29" s="5" t="n">
        <v>45793</v>
      </c>
      <c r="L29" s="0" t="n">
        <v>39</v>
      </c>
    </row>
    <row r="30" customFormat="false" ht="15" hidden="false" customHeight="false" outlineLevel="0" collapsed="false">
      <c r="A30" s="0" t="n">
        <v>28</v>
      </c>
      <c r="B30" s="0" t="s">
        <v>169</v>
      </c>
      <c r="C30" s="0" t="s">
        <v>170</v>
      </c>
      <c r="D30" s="0" t="s">
        <v>171</v>
      </c>
      <c r="E30" s="4" t="n">
        <v>2.33680555555556</v>
      </c>
      <c r="F30" s="0" t="n">
        <v>180</v>
      </c>
      <c r="G30" s="0" t="n">
        <v>180</v>
      </c>
      <c r="H30" s="0" t="n">
        <v>7.85</v>
      </c>
      <c r="I30" s="0" t="s">
        <v>172</v>
      </c>
      <c r="J30" s="0" t="s">
        <v>173</v>
      </c>
      <c r="K30" s="5" t="n">
        <v>45806</v>
      </c>
      <c r="L30" s="0" t="n">
        <v>33</v>
      </c>
    </row>
    <row r="31" customFormat="false" ht="15" hidden="false" customHeight="false" outlineLevel="0" collapsed="false">
      <c r="A31" s="0" t="n">
        <v>29</v>
      </c>
      <c r="B31" s="0" t="s">
        <v>135</v>
      </c>
      <c r="C31" s="0" t="s">
        <v>136</v>
      </c>
      <c r="D31" s="0" t="s">
        <v>174</v>
      </c>
      <c r="E31" s="4" t="n">
        <v>2.40208333333333</v>
      </c>
      <c r="F31" s="0" t="n">
        <v>180</v>
      </c>
      <c r="G31" s="0" t="n">
        <v>180</v>
      </c>
      <c r="H31" s="0" t="n">
        <v>9.53</v>
      </c>
      <c r="I31" s="0" t="s">
        <v>175</v>
      </c>
      <c r="J31" s="0" t="s">
        <v>176</v>
      </c>
      <c r="K31" s="5" t="n">
        <v>45762</v>
      </c>
      <c r="L31" s="0" t="n">
        <v>27</v>
      </c>
    </row>
    <row r="32" customFormat="false" ht="15" hidden="false" customHeight="false" outlineLevel="0" collapsed="false">
      <c r="A32" s="0" t="n">
        <v>30</v>
      </c>
      <c r="B32" s="0" t="s">
        <v>177</v>
      </c>
      <c r="C32" s="0" t="s">
        <v>178</v>
      </c>
      <c r="D32" s="0" t="s">
        <v>179</v>
      </c>
      <c r="E32" s="4" t="n">
        <v>1.76458333333333</v>
      </c>
      <c r="F32" s="0" t="n">
        <v>160</v>
      </c>
      <c r="G32" s="0" t="n">
        <v>160</v>
      </c>
      <c r="H32" s="0" t="n">
        <v>6.45</v>
      </c>
      <c r="I32" s="0" t="s">
        <v>180</v>
      </c>
      <c r="J32" s="0" t="s">
        <v>181</v>
      </c>
      <c r="K32" s="5" t="n">
        <v>45803</v>
      </c>
      <c r="L32" s="0" t="n">
        <v>40</v>
      </c>
    </row>
    <row r="33" customFormat="false" ht="15" hidden="false" customHeight="false" outlineLevel="0" collapsed="false">
      <c r="A33" s="0" t="n">
        <v>31</v>
      </c>
      <c r="B33" s="0" t="s">
        <v>182</v>
      </c>
      <c r="C33" s="0" t="s">
        <v>183</v>
      </c>
      <c r="D33" s="0" t="s">
        <v>179</v>
      </c>
      <c r="E33" s="4" t="n">
        <v>1.97430555555556</v>
      </c>
      <c r="F33" s="0" t="n">
        <v>160</v>
      </c>
      <c r="G33" s="0" t="n">
        <v>160</v>
      </c>
      <c r="H33" s="0" t="n">
        <v>6.65</v>
      </c>
      <c r="I33" s="0" t="s">
        <v>184</v>
      </c>
      <c r="J33" s="0" t="s">
        <v>185</v>
      </c>
      <c r="K33" s="5" t="n">
        <v>45771</v>
      </c>
      <c r="L33" s="0" t="n">
        <v>44</v>
      </c>
    </row>
    <row r="34" customFormat="false" ht="15" hidden="false" customHeight="false" outlineLevel="0" collapsed="false">
      <c r="A34" s="0" t="n">
        <v>32</v>
      </c>
      <c r="B34" s="0" t="s">
        <v>186</v>
      </c>
      <c r="C34" s="0" t="s">
        <v>187</v>
      </c>
      <c r="D34" s="0" t="s">
        <v>179</v>
      </c>
      <c r="E34" s="4" t="n">
        <v>2.04444444444444</v>
      </c>
      <c r="F34" s="0" t="n">
        <v>160</v>
      </c>
      <c r="G34" s="0" t="n">
        <v>160</v>
      </c>
      <c r="H34" s="0" t="n">
        <v>6.99</v>
      </c>
      <c r="I34" s="0" t="s">
        <v>188</v>
      </c>
      <c r="J34" s="0" t="s">
        <v>189</v>
      </c>
      <c r="K34" s="5" t="n">
        <v>45797</v>
      </c>
      <c r="L34" s="0" t="n">
        <v>36</v>
      </c>
    </row>
    <row r="35" customFormat="false" ht="15" hidden="false" customHeight="false" outlineLevel="0" collapsed="false">
      <c r="A35" s="0" t="n">
        <v>33</v>
      </c>
      <c r="B35" s="0" t="s">
        <v>190</v>
      </c>
      <c r="C35" s="0" t="s">
        <v>191</v>
      </c>
      <c r="D35" s="0" t="s">
        <v>179</v>
      </c>
      <c r="E35" s="4" t="n">
        <v>2.19027777777778</v>
      </c>
      <c r="F35" s="0" t="n">
        <v>160</v>
      </c>
      <c r="G35" s="0" t="n">
        <v>160</v>
      </c>
      <c r="H35" s="0" t="n">
        <v>7.05</v>
      </c>
      <c r="I35" s="0" t="s">
        <v>192</v>
      </c>
      <c r="J35" s="0" t="s">
        <v>193</v>
      </c>
      <c r="K35" s="5" t="n">
        <v>45797</v>
      </c>
      <c r="L35" s="0" t="n">
        <v>14</v>
      </c>
    </row>
    <row r="36" customFormat="false" ht="15" hidden="false" customHeight="false" outlineLevel="0" collapsed="false">
      <c r="A36" s="0" t="n">
        <v>34</v>
      </c>
      <c r="B36" s="0" t="s">
        <v>194</v>
      </c>
      <c r="C36" s="0" t="s">
        <v>119</v>
      </c>
      <c r="D36" s="0" t="s">
        <v>179</v>
      </c>
      <c r="E36" s="4" t="n">
        <v>2.20694444444444</v>
      </c>
      <c r="F36" s="0" t="n">
        <v>160</v>
      </c>
      <c r="G36" s="0" t="n">
        <v>160</v>
      </c>
      <c r="H36" s="0" t="n">
        <v>7.28</v>
      </c>
      <c r="I36" s="0" t="s">
        <v>195</v>
      </c>
      <c r="J36" s="0" t="s">
        <v>196</v>
      </c>
      <c r="K36" s="5" t="n">
        <v>45797</v>
      </c>
      <c r="L36" s="0" t="n">
        <v>38</v>
      </c>
    </row>
    <row r="37" customFormat="false" ht="15" hidden="false" customHeight="false" outlineLevel="0" collapsed="false">
      <c r="A37" s="0" t="n">
        <v>35</v>
      </c>
      <c r="B37" s="0" t="s">
        <v>197</v>
      </c>
      <c r="C37" s="0" t="s">
        <v>198</v>
      </c>
      <c r="D37" s="0" t="s">
        <v>179</v>
      </c>
      <c r="E37" s="4" t="n">
        <v>2.36111111111111</v>
      </c>
      <c r="F37" s="0" t="n">
        <v>160</v>
      </c>
      <c r="G37" s="0" t="n">
        <v>160</v>
      </c>
      <c r="H37" s="0" t="n">
        <v>6.71</v>
      </c>
      <c r="I37" s="0" t="s">
        <v>199</v>
      </c>
      <c r="J37" s="0" t="s">
        <v>200</v>
      </c>
      <c r="K37" s="5" t="n">
        <v>45806</v>
      </c>
      <c r="L37" s="0" t="n">
        <v>11</v>
      </c>
    </row>
    <row r="38" customFormat="false" ht="15" hidden="false" customHeight="false" outlineLevel="0" collapsed="false">
      <c r="A38" s="0" t="n">
        <v>36</v>
      </c>
      <c r="B38" s="0" t="s">
        <v>119</v>
      </c>
      <c r="C38" s="0" t="s">
        <v>120</v>
      </c>
      <c r="D38" s="0" t="s">
        <v>201</v>
      </c>
      <c r="E38" s="4" t="n">
        <v>2.36805555555556</v>
      </c>
      <c r="F38" s="0" t="n">
        <v>160</v>
      </c>
      <c r="G38" s="0" t="n">
        <v>160</v>
      </c>
      <c r="H38" s="0" t="n">
        <v>9.19</v>
      </c>
      <c r="I38" s="0" t="s">
        <v>202</v>
      </c>
      <c r="J38" s="0" t="s">
        <v>203</v>
      </c>
      <c r="K38" s="5" t="n">
        <v>45762</v>
      </c>
      <c r="L38" s="0" t="n">
        <v>18</v>
      </c>
    </row>
    <row r="39" customFormat="false" ht="15" hidden="false" customHeight="false" outlineLevel="0" collapsed="false">
      <c r="A39" s="0" t="n">
        <v>37</v>
      </c>
      <c r="B39" s="0" t="s">
        <v>169</v>
      </c>
      <c r="C39" s="0" t="s">
        <v>170</v>
      </c>
      <c r="D39" s="0" t="s">
        <v>204</v>
      </c>
      <c r="E39" s="4" t="n">
        <v>2.34305555555556</v>
      </c>
      <c r="F39" s="0" t="n">
        <v>150</v>
      </c>
      <c r="G39" s="0" t="n">
        <v>150</v>
      </c>
      <c r="H39" s="0" t="n">
        <v>5.94</v>
      </c>
      <c r="I39" s="0" t="s">
        <v>205</v>
      </c>
      <c r="J39" s="0" t="s">
        <v>206</v>
      </c>
      <c r="K39" s="5" t="n">
        <v>45799</v>
      </c>
      <c r="L39" s="0" t="n">
        <v>53</v>
      </c>
    </row>
    <row r="40" customFormat="false" ht="15" hidden="false" customHeight="false" outlineLevel="0" collapsed="false">
      <c r="A40" s="0" t="n">
        <v>38</v>
      </c>
      <c r="B40" s="0" t="s">
        <v>135</v>
      </c>
      <c r="C40" s="0" t="s">
        <v>136</v>
      </c>
      <c r="D40" s="0" t="s">
        <v>207</v>
      </c>
      <c r="E40" s="6" t="n">
        <v>0.0418981481481482</v>
      </c>
      <c r="F40" s="0" t="n">
        <v>160</v>
      </c>
      <c r="G40" s="0" t="n">
        <v>150</v>
      </c>
      <c r="H40" s="0" t="n">
        <v>7.75</v>
      </c>
      <c r="I40" s="0" t="s">
        <v>208</v>
      </c>
      <c r="J40" s="0" t="s">
        <v>209</v>
      </c>
      <c r="K40" s="5" t="n">
        <v>45773</v>
      </c>
      <c r="L40" s="0" t="n">
        <v>30</v>
      </c>
    </row>
    <row r="41" customFormat="false" ht="15" hidden="false" customHeight="false" outlineLevel="0" collapsed="false">
      <c r="A41" s="0" t="n">
        <v>39</v>
      </c>
      <c r="B41" s="0" t="s">
        <v>123</v>
      </c>
      <c r="C41" s="0" t="s">
        <v>124</v>
      </c>
      <c r="D41" s="0" t="s">
        <v>210</v>
      </c>
      <c r="E41" s="4" t="n">
        <v>2.26597222222222</v>
      </c>
      <c r="F41" s="0" t="n">
        <v>140</v>
      </c>
      <c r="G41" s="0" t="n">
        <v>140</v>
      </c>
      <c r="H41" s="0" t="n">
        <v>8.23</v>
      </c>
      <c r="I41" s="0" t="s">
        <v>211</v>
      </c>
      <c r="J41" s="0" t="s">
        <v>212</v>
      </c>
      <c r="K41" s="5" t="n">
        <v>45788</v>
      </c>
      <c r="L41" s="0" t="n">
        <v>34</v>
      </c>
    </row>
    <row r="42" customFormat="false" ht="15" hidden="false" customHeight="false" outlineLevel="0" collapsed="false">
      <c r="A42" s="0" t="n">
        <v>40</v>
      </c>
      <c r="B42" s="0" t="s">
        <v>127</v>
      </c>
      <c r="C42" s="0" t="s">
        <v>128</v>
      </c>
      <c r="D42" s="0" t="s">
        <v>210</v>
      </c>
      <c r="E42" s="4" t="n">
        <v>2.26666666666667</v>
      </c>
      <c r="F42" s="0" t="n">
        <v>140</v>
      </c>
      <c r="G42" s="0" t="n">
        <v>140</v>
      </c>
      <c r="H42" s="0" t="n">
        <v>9.64</v>
      </c>
      <c r="I42" s="0" t="s">
        <v>213</v>
      </c>
      <c r="J42" s="0" t="s">
        <v>214</v>
      </c>
      <c r="K42" s="5" t="n">
        <v>45788</v>
      </c>
      <c r="L42" s="0" t="n">
        <v>42</v>
      </c>
    </row>
    <row r="43" customFormat="false" ht="15" hidden="false" customHeight="false" outlineLevel="0" collapsed="false">
      <c r="A43" s="0" t="n">
        <v>41</v>
      </c>
      <c r="B43" s="0" t="s">
        <v>177</v>
      </c>
      <c r="C43" s="0" t="s">
        <v>178</v>
      </c>
      <c r="D43" s="0" t="s">
        <v>210</v>
      </c>
      <c r="E43" s="4" t="n">
        <v>2.27847222222222</v>
      </c>
      <c r="F43" s="0" t="n">
        <v>140</v>
      </c>
      <c r="G43" s="0" t="n">
        <v>140</v>
      </c>
      <c r="H43" s="0" t="n">
        <v>8.09</v>
      </c>
      <c r="I43" s="0" t="s">
        <v>215</v>
      </c>
      <c r="J43" s="0" t="s">
        <v>216</v>
      </c>
      <c r="K43" s="5" t="n">
        <v>45788</v>
      </c>
      <c r="L43" s="0" t="n">
        <v>45</v>
      </c>
    </row>
    <row r="44" customFormat="false" ht="15" hidden="false" customHeight="false" outlineLevel="0" collapsed="false">
      <c r="A44" s="0" t="n">
        <v>42</v>
      </c>
      <c r="B44" s="0" t="s">
        <v>99</v>
      </c>
      <c r="C44" s="0" t="s">
        <v>100</v>
      </c>
      <c r="D44" s="0" t="s">
        <v>73</v>
      </c>
      <c r="E44" s="6" t="n">
        <v>0.049212962962963</v>
      </c>
      <c r="F44" s="0" t="n">
        <v>250</v>
      </c>
      <c r="G44" s="0" t="n">
        <v>140</v>
      </c>
      <c r="H44" s="0" t="n">
        <v>11.97</v>
      </c>
      <c r="I44" s="0" t="s">
        <v>217</v>
      </c>
      <c r="J44" s="0" t="s">
        <v>218</v>
      </c>
      <c r="K44" s="5" t="n">
        <v>45785</v>
      </c>
      <c r="L44" s="0" t="n">
        <v>5</v>
      </c>
    </row>
    <row r="45" customFormat="false" ht="15" hidden="false" customHeight="false" outlineLevel="0" collapsed="false">
      <c r="A45" s="0" t="n">
        <v>43</v>
      </c>
      <c r="B45" s="0" t="s">
        <v>219</v>
      </c>
      <c r="C45" s="0" t="s">
        <v>220</v>
      </c>
      <c r="D45" s="0" t="s">
        <v>73</v>
      </c>
      <c r="E45" s="6" t="n">
        <v>0.0492361111111111</v>
      </c>
      <c r="F45" s="0" t="n">
        <v>250</v>
      </c>
      <c r="G45" s="0" t="n">
        <v>140</v>
      </c>
      <c r="H45" s="0" t="n">
        <v>11.68</v>
      </c>
      <c r="I45" s="0" t="s">
        <v>221</v>
      </c>
      <c r="J45" s="0" t="s">
        <v>222</v>
      </c>
      <c r="K45" s="5" t="n">
        <v>45785</v>
      </c>
      <c r="L45" s="0" t="n">
        <v>6</v>
      </c>
    </row>
    <row r="46" customFormat="false" ht="15" hidden="false" customHeight="false" outlineLevel="0" collapsed="false">
      <c r="A46" s="0" t="n">
        <v>44</v>
      </c>
      <c r="B46" s="0" t="s">
        <v>114</v>
      </c>
      <c r="C46" s="0" t="s">
        <v>115</v>
      </c>
      <c r="D46" s="0" t="s">
        <v>73</v>
      </c>
      <c r="E46" s="6" t="n">
        <v>0.0492476851851852</v>
      </c>
      <c r="F46" s="0" t="n">
        <v>250</v>
      </c>
      <c r="G46" s="0" t="n">
        <v>140</v>
      </c>
      <c r="H46" s="0" t="n">
        <v>11.89</v>
      </c>
      <c r="I46" s="0" t="s">
        <v>223</v>
      </c>
      <c r="J46" s="0" t="s">
        <v>224</v>
      </c>
      <c r="K46" s="5" t="n">
        <v>45785</v>
      </c>
      <c r="L46" s="0" t="n">
        <v>19</v>
      </c>
    </row>
    <row r="47" customFormat="false" ht="15" hidden="false" customHeight="false" outlineLevel="0" collapsed="false">
      <c r="A47" s="0" t="n">
        <v>45</v>
      </c>
      <c r="B47" s="0" t="s">
        <v>190</v>
      </c>
      <c r="C47" s="0" t="s">
        <v>191</v>
      </c>
      <c r="D47" s="0" t="s">
        <v>225</v>
      </c>
      <c r="E47" s="4" t="n">
        <v>2.21666666666667</v>
      </c>
      <c r="F47" s="0" t="n">
        <v>120</v>
      </c>
      <c r="G47" s="0" t="n">
        <v>120</v>
      </c>
      <c r="H47" s="0" t="n">
        <v>6.6</v>
      </c>
      <c r="I47" s="0" t="s">
        <v>226</v>
      </c>
      <c r="J47" s="0" t="s">
        <v>227</v>
      </c>
      <c r="K47" s="5" t="n">
        <v>45792</v>
      </c>
      <c r="L47" s="0" t="n">
        <v>2</v>
      </c>
    </row>
    <row r="48" customFormat="false" ht="15" hidden="false" customHeight="false" outlineLevel="0" collapsed="false">
      <c r="A48" s="0" t="n">
        <v>46</v>
      </c>
      <c r="B48" s="0" t="s">
        <v>194</v>
      </c>
      <c r="C48" s="0" t="s">
        <v>119</v>
      </c>
      <c r="D48" s="0" t="s">
        <v>225</v>
      </c>
      <c r="E48" s="4" t="n">
        <v>2.21736111111111</v>
      </c>
      <c r="F48" s="0" t="n">
        <v>120</v>
      </c>
      <c r="G48" s="0" t="n">
        <v>120</v>
      </c>
      <c r="H48" s="0" t="n">
        <v>5.69</v>
      </c>
      <c r="I48" s="0" t="s">
        <v>228</v>
      </c>
      <c r="J48" s="0" t="s">
        <v>229</v>
      </c>
      <c r="K48" s="5" t="n">
        <v>45792</v>
      </c>
      <c r="L48" s="0" t="n">
        <v>52</v>
      </c>
    </row>
    <row r="49" customFormat="false" ht="15" hidden="false" customHeight="false" outlineLevel="0" collapsed="false">
      <c r="A49" s="0" t="n">
        <v>47</v>
      </c>
      <c r="B49" s="0" t="s">
        <v>197</v>
      </c>
      <c r="C49" s="0" t="s">
        <v>198</v>
      </c>
      <c r="D49" s="0" t="s">
        <v>171</v>
      </c>
      <c r="E49" s="6" t="n">
        <v>0.0506597222222222</v>
      </c>
      <c r="F49" s="0" t="n">
        <v>180</v>
      </c>
      <c r="G49" s="0" t="n">
        <v>50</v>
      </c>
      <c r="H49" s="0" t="n">
        <v>8.6</v>
      </c>
      <c r="I49" s="0" t="s">
        <v>230</v>
      </c>
      <c r="J49" s="0" t="s">
        <v>231</v>
      </c>
      <c r="K49" s="5" t="n">
        <v>45805</v>
      </c>
      <c r="L49" s="0" t="n">
        <v>25</v>
      </c>
    </row>
    <row r="50" customFormat="false" ht="15" hidden="false" customHeight="false" outlineLevel="0" collapsed="false">
      <c r="A50" s="0" t="n">
        <v>48</v>
      </c>
      <c r="B50" s="0" t="s">
        <v>80</v>
      </c>
      <c r="C50" s="0" t="s">
        <v>81</v>
      </c>
      <c r="D50" s="0" t="s">
        <v>82</v>
      </c>
      <c r="E50" s="6" t="n">
        <v>0.0619791666666667</v>
      </c>
      <c r="F50" s="0" t="n">
        <v>250</v>
      </c>
      <c r="G50" s="0" t="n">
        <v>-50</v>
      </c>
      <c r="H50" s="0" t="n">
        <v>11.71</v>
      </c>
      <c r="I50" s="0" t="s">
        <v>232</v>
      </c>
      <c r="J50" s="0" t="s">
        <v>233</v>
      </c>
      <c r="K50" s="5" t="n">
        <v>45802</v>
      </c>
      <c r="L50" s="0" t="n">
        <v>9</v>
      </c>
    </row>
    <row r="51" customFormat="false" ht="15" hidden="false" customHeight="false" outlineLevel="0" collapsed="false">
      <c r="A51" s="0" t="n">
        <v>49</v>
      </c>
      <c r="B51" s="0" t="s">
        <v>127</v>
      </c>
      <c r="C51" s="0" t="s">
        <v>128</v>
      </c>
      <c r="D51" s="0" t="s">
        <v>234</v>
      </c>
      <c r="E51" s="6" t="n">
        <v>0.0589930555555556</v>
      </c>
      <c r="F51" s="0" t="n">
        <v>190</v>
      </c>
      <c r="G51" s="0" t="n">
        <v>-60</v>
      </c>
      <c r="H51" s="0" t="n">
        <v>10.36</v>
      </c>
      <c r="I51" s="0" t="s">
        <v>235</v>
      </c>
      <c r="J51" s="0" t="s">
        <v>236</v>
      </c>
      <c r="K51" s="5" t="n">
        <v>45797</v>
      </c>
      <c r="L51" s="0" t="n">
        <v>37</v>
      </c>
    </row>
    <row r="52" customFormat="false" ht="15" hidden="false" customHeight="false" outlineLevel="0" collapsed="false">
      <c r="A52" s="0" t="n">
        <v>50</v>
      </c>
      <c r="B52" s="0" t="s">
        <v>123</v>
      </c>
      <c r="C52" s="0" t="s">
        <v>124</v>
      </c>
      <c r="D52" s="0" t="s">
        <v>234</v>
      </c>
      <c r="E52" s="6" t="n">
        <v>0.0590393518518519</v>
      </c>
      <c r="F52" s="0" t="n">
        <v>190</v>
      </c>
      <c r="G52" s="0" t="n">
        <v>-70</v>
      </c>
      <c r="H52" s="0" t="n">
        <v>9.83</v>
      </c>
      <c r="I52" s="0" t="s">
        <v>237</v>
      </c>
      <c r="J52" s="0" t="s">
        <v>238</v>
      </c>
      <c r="K52" s="5" t="n">
        <v>45797</v>
      </c>
      <c r="L52" s="0" t="n">
        <v>41</v>
      </c>
    </row>
    <row r="53" customFormat="false" ht="15" hidden="false" customHeight="false" outlineLevel="0" collapsed="false">
      <c r="A53" s="0" t="n">
        <v>51</v>
      </c>
      <c r="B53" s="0" t="s">
        <v>146</v>
      </c>
      <c r="C53" s="0" t="s">
        <v>147</v>
      </c>
      <c r="D53" s="0" t="s">
        <v>239</v>
      </c>
      <c r="E53" s="6" t="n">
        <v>0.0778009259259259</v>
      </c>
      <c r="F53" s="0" t="n">
        <v>210</v>
      </c>
      <c r="G53" s="0" t="n">
        <v>-320</v>
      </c>
      <c r="H53" s="0" t="n">
        <v>10.25</v>
      </c>
      <c r="I53" s="0" t="s">
        <v>240</v>
      </c>
      <c r="J53" s="0" t="s">
        <v>241</v>
      </c>
      <c r="K53" s="5" t="n">
        <v>45788</v>
      </c>
      <c r="L53" s="0" t="n">
        <v>47</v>
      </c>
    </row>
    <row r="54" customFormat="false" ht="15" hidden="false" customHeight="false" outlineLevel="0" collapsed="false">
      <c r="A54" s="0" t="n">
        <v>52</v>
      </c>
      <c r="B54" s="0" t="s">
        <v>186</v>
      </c>
      <c r="C54" s="0" t="s">
        <v>187</v>
      </c>
      <c r="D54" s="0" t="s">
        <v>239</v>
      </c>
      <c r="E54" s="6" t="n">
        <v>0.0778125</v>
      </c>
      <c r="F54" s="0" t="n">
        <v>210</v>
      </c>
      <c r="G54" s="0" t="n">
        <v>-320</v>
      </c>
      <c r="H54" s="0" t="n">
        <v>9.93</v>
      </c>
      <c r="I54" s="0" t="s">
        <v>242</v>
      </c>
      <c r="J54" s="0" t="s">
        <v>243</v>
      </c>
      <c r="K54" s="5" t="n">
        <v>45788</v>
      </c>
      <c r="L54" s="0" t="n">
        <v>12</v>
      </c>
    </row>
    <row r="55" customFormat="false" ht="15" hidden="false" customHeight="false" outlineLevel="0" collapsed="false">
      <c r="A55" s="0" t="n">
        <v>53</v>
      </c>
      <c r="B55" s="0" t="s">
        <v>244</v>
      </c>
      <c r="C55" s="0" t="s">
        <v>245</v>
      </c>
      <c r="D55" s="0" t="s">
        <v>246</v>
      </c>
      <c r="E55" s="6" t="n">
        <v>0.0819328703703704</v>
      </c>
      <c r="F55" s="0" t="n">
        <v>180</v>
      </c>
      <c r="G55" s="0" t="n">
        <v>-400</v>
      </c>
      <c r="H55" s="0" t="n">
        <v>9.75</v>
      </c>
      <c r="I55" s="0" t="s">
        <v>247</v>
      </c>
      <c r="J55" s="0" t="s">
        <v>248</v>
      </c>
      <c r="K55" s="5" t="n">
        <v>45767</v>
      </c>
      <c r="L55" s="0" t="n">
        <v>22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O28" activeCellId="1" sqref="A:A O28"/>
    </sheetView>
  </sheetViews>
  <sheetFormatPr defaultColWidth="8.59765625" defaultRowHeight="15" customHeight="true" zeroHeight="false" outlineLevelRow="0" outlineLevelCol="0"/>
  <cols>
    <col collapsed="false" customWidth="true" hidden="false" outlineLevel="0" max="11" min="11" style="0" width="12.86"/>
  </cols>
  <sheetData>
    <row r="1" customFormat="false" ht="15" hidden="false" customHeight="false" outlineLevel="0" collapsed="false">
      <c r="A1" s="0" t="s">
        <v>59</v>
      </c>
      <c r="B1" s="0" t="s">
        <v>60</v>
      </c>
      <c r="C1" s="0" t="s">
        <v>61</v>
      </c>
      <c r="D1" s="0" t="s">
        <v>62</v>
      </c>
      <c r="E1" s="0" t="s">
        <v>63</v>
      </c>
      <c r="F1" s="0" t="s">
        <v>64</v>
      </c>
      <c r="G1" s="0" t="s">
        <v>65</v>
      </c>
      <c r="H1" s="0" t="s">
        <v>66</v>
      </c>
      <c r="I1" s="0" t="s">
        <v>67</v>
      </c>
      <c r="J1" s="0" t="s">
        <v>68</v>
      </c>
      <c r="K1" s="0" t="s">
        <v>69</v>
      </c>
      <c r="L1" s="0" t="s">
        <v>70</v>
      </c>
    </row>
    <row r="2" customFormat="false" ht="15" hidden="false" customHeight="false" outlineLevel="0" collapsed="false">
      <c r="A2" s="0" t="n">
        <v>1</v>
      </c>
      <c r="B2" s="0" t="s">
        <v>71</v>
      </c>
      <c r="C2" s="0" t="s">
        <v>72</v>
      </c>
      <c r="D2" s="0" t="s">
        <v>249</v>
      </c>
      <c r="E2" s="4" t="n">
        <v>1.50902777777778</v>
      </c>
      <c r="F2" s="0" t="n">
        <v>250</v>
      </c>
      <c r="G2" s="0" t="n">
        <v>250</v>
      </c>
      <c r="H2" s="0" t="n">
        <v>8.14</v>
      </c>
      <c r="I2" s="0" t="s">
        <v>74</v>
      </c>
      <c r="J2" s="0" t="s">
        <v>75</v>
      </c>
      <c r="K2" s="5" t="n">
        <v>45765</v>
      </c>
      <c r="L2" s="0" t="n">
        <v>50</v>
      </c>
    </row>
    <row r="3" customFormat="false" ht="15" hidden="false" customHeight="false" outlineLevel="0" collapsed="false">
      <c r="A3" s="0" t="n">
        <v>2</v>
      </c>
      <c r="B3" s="0" t="s">
        <v>94</v>
      </c>
      <c r="C3" s="0" t="s">
        <v>72</v>
      </c>
      <c r="D3" s="0" t="s">
        <v>249</v>
      </c>
      <c r="E3" s="4" t="n">
        <v>1.57291666666667</v>
      </c>
      <c r="F3" s="0" t="n">
        <v>250</v>
      </c>
      <c r="G3" s="0" t="n">
        <v>250</v>
      </c>
      <c r="H3" s="0" t="n">
        <v>8.16</v>
      </c>
      <c r="I3" s="0" t="s">
        <v>83</v>
      </c>
      <c r="J3" s="0" t="s">
        <v>96</v>
      </c>
      <c r="K3" s="5" t="n">
        <v>45765</v>
      </c>
      <c r="L3" s="0" t="n">
        <v>17</v>
      </c>
    </row>
    <row r="4" customFormat="false" ht="15" hidden="false" customHeight="false" outlineLevel="0" collapsed="false">
      <c r="A4" s="0" t="n">
        <v>3</v>
      </c>
      <c r="B4" s="0" t="s">
        <v>80</v>
      </c>
      <c r="C4" s="0" t="s">
        <v>81</v>
      </c>
      <c r="D4" s="0" t="s">
        <v>250</v>
      </c>
      <c r="E4" s="4" t="n">
        <v>1.63819444444444</v>
      </c>
      <c r="F4" s="0" t="n">
        <v>250</v>
      </c>
      <c r="G4" s="0" t="n">
        <v>250</v>
      </c>
      <c r="H4" s="0" t="n">
        <v>8.37</v>
      </c>
      <c r="I4" s="0" t="s">
        <v>87</v>
      </c>
      <c r="J4" s="0" t="s">
        <v>84</v>
      </c>
      <c r="K4" s="5" t="n">
        <v>45808</v>
      </c>
      <c r="L4" s="0" t="n">
        <v>63</v>
      </c>
    </row>
    <row r="5" customFormat="false" ht="15" hidden="false" customHeight="false" outlineLevel="0" collapsed="false">
      <c r="A5" s="0" t="n">
        <v>4</v>
      </c>
      <c r="B5" s="0" t="s">
        <v>80</v>
      </c>
      <c r="C5" s="0" t="s">
        <v>81</v>
      </c>
      <c r="D5" s="0" t="s">
        <v>250</v>
      </c>
      <c r="E5" s="4" t="n">
        <v>1.63958333333333</v>
      </c>
      <c r="F5" s="0" t="n">
        <v>250</v>
      </c>
      <c r="G5" s="0" t="n">
        <v>250</v>
      </c>
      <c r="H5" s="0" t="n">
        <v>8.37</v>
      </c>
      <c r="I5" s="0" t="s">
        <v>92</v>
      </c>
      <c r="J5" s="0" t="s">
        <v>93</v>
      </c>
      <c r="K5" s="5" t="n">
        <v>45808</v>
      </c>
      <c r="L5" s="0" t="n">
        <v>62</v>
      </c>
    </row>
    <row r="6" customFormat="false" ht="15" hidden="false" customHeight="false" outlineLevel="0" collapsed="false">
      <c r="A6" s="0" t="n">
        <v>5</v>
      </c>
      <c r="B6" s="0" t="s">
        <v>85</v>
      </c>
      <c r="C6" s="0" t="s">
        <v>86</v>
      </c>
      <c r="D6" s="0" t="s">
        <v>251</v>
      </c>
      <c r="E6" s="4" t="n">
        <v>1.65625</v>
      </c>
      <c r="F6" s="0" t="n">
        <v>250</v>
      </c>
      <c r="G6" s="0" t="n">
        <v>250</v>
      </c>
      <c r="H6" s="0" t="n">
        <v>8.16</v>
      </c>
      <c r="I6" s="0" t="s">
        <v>95</v>
      </c>
      <c r="J6" s="0" t="s">
        <v>88</v>
      </c>
      <c r="K6" s="5" t="n">
        <v>45782</v>
      </c>
      <c r="L6" s="0" t="n">
        <v>56</v>
      </c>
    </row>
    <row r="7" customFormat="false" ht="15" hidden="false" customHeight="false" outlineLevel="0" collapsed="false">
      <c r="A7" s="0" t="n">
        <v>6</v>
      </c>
      <c r="B7" s="0" t="s">
        <v>85</v>
      </c>
      <c r="C7" s="0" t="s">
        <v>86</v>
      </c>
      <c r="D7" s="0" t="s">
        <v>250</v>
      </c>
      <c r="E7" s="4" t="n">
        <v>1.65763888888889</v>
      </c>
      <c r="F7" s="0" t="n">
        <v>250</v>
      </c>
      <c r="G7" s="0" t="n">
        <v>250</v>
      </c>
      <c r="H7" s="0" t="n">
        <v>8.48</v>
      </c>
      <c r="I7" s="0" t="s">
        <v>97</v>
      </c>
      <c r="J7" s="0" t="s">
        <v>98</v>
      </c>
      <c r="K7" s="5" t="n">
        <v>45797</v>
      </c>
      <c r="L7" s="0" t="n">
        <v>5</v>
      </c>
    </row>
    <row r="8" customFormat="false" ht="15" hidden="false" customHeight="false" outlineLevel="0" collapsed="false">
      <c r="A8" s="0" t="n">
        <v>7</v>
      </c>
      <c r="B8" s="0" t="s">
        <v>85</v>
      </c>
      <c r="C8" s="0" t="s">
        <v>86</v>
      </c>
      <c r="D8" s="0" t="s">
        <v>251</v>
      </c>
      <c r="E8" s="4" t="n">
        <v>1.65902777777778</v>
      </c>
      <c r="F8" s="0" t="n">
        <v>250</v>
      </c>
      <c r="G8" s="0" t="n">
        <v>250</v>
      </c>
      <c r="H8" s="0" t="n">
        <v>8.27</v>
      </c>
      <c r="I8" s="0" t="s">
        <v>105</v>
      </c>
      <c r="J8" s="0" t="s">
        <v>252</v>
      </c>
      <c r="K8" s="5" t="n">
        <v>45802</v>
      </c>
      <c r="L8" s="0" t="n">
        <v>4</v>
      </c>
    </row>
    <row r="9" customFormat="false" ht="15" hidden="false" customHeight="false" outlineLevel="0" collapsed="false">
      <c r="A9" s="0" t="n">
        <v>8</v>
      </c>
      <c r="B9" s="0" t="s">
        <v>76</v>
      </c>
      <c r="C9" s="0" t="s">
        <v>77</v>
      </c>
      <c r="D9" s="0" t="s">
        <v>253</v>
      </c>
      <c r="E9" s="7" t="n">
        <v>0</v>
      </c>
      <c r="F9" s="0" t="n">
        <v>230</v>
      </c>
      <c r="G9" s="0" t="n">
        <v>230</v>
      </c>
      <c r="H9" s="0" t="n">
        <v>7.65</v>
      </c>
      <c r="I9" s="0" t="s">
        <v>78</v>
      </c>
      <c r="J9" s="0" t="s">
        <v>79</v>
      </c>
      <c r="K9" s="5" t="n">
        <v>45805</v>
      </c>
      <c r="L9" s="0" t="n">
        <v>37</v>
      </c>
    </row>
    <row r="10" customFormat="false" ht="15" hidden="false" customHeight="false" outlineLevel="0" collapsed="false">
      <c r="A10" s="0" t="n">
        <v>9</v>
      </c>
      <c r="B10" s="0" t="s">
        <v>85</v>
      </c>
      <c r="C10" s="0" t="s">
        <v>86</v>
      </c>
      <c r="D10" s="0" t="s">
        <v>254</v>
      </c>
      <c r="E10" s="4" t="n">
        <v>1.53958333333333</v>
      </c>
      <c r="F10" s="0" t="n">
        <v>230</v>
      </c>
      <c r="G10" s="0" t="n">
        <v>230</v>
      </c>
      <c r="H10" s="0" t="n">
        <v>7.99</v>
      </c>
      <c r="I10" s="0" t="s">
        <v>110</v>
      </c>
      <c r="J10" s="0" t="s">
        <v>255</v>
      </c>
      <c r="K10" s="5" t="n">
        <v>45754</v>
      </c>
      <c r="L10" s="0" t="n">
        <v>22</v>
      </c>
    </row>
    <row r="11" customFormat="false" ht="15" hidden="false" customHeight="false" outlineLevel="0" collapsed="false">
      <c r="A11" s="0" t="n">
        <v>10</v>
      </c>
      <c r="B11" s="0" t="s">
        <v>89</v>
      </c>
      <c r="C11" s="0" t="s">
        <v>90</v>
      </c>
      <c r="D11" s="0" t="s">
        <v>256</v>
      </c>
      <c r="E11" s="4" t="n">
        <v>1.5875</v>
      </c>
      <c r="F11" s="0" t="n">
        <v>230</v>
      </c>
      <c r="G11" s="0" t="n">
        <v>230</v>
      </c>
      <c r="H11" s="0" t="n">
        <v>7.5</v>
      </c>
      <c r="I11" s="0" t="s">
        <v>117</v>
      </c>
      <c r="J11" s="0" t="s">
        <v>111</v>
      </c>
      <c r="K11" s="5" t="n">
        <v>45800</v>
      </c>
      <c r="L11" s="0" t="n">
        <v>19</v>
      </c>
    </row>
    <row r="12" customFormat="false" ht="15" hidden="false" customHeight="false" outlineLevel="0" collapsed="false">
      <c r="A12" s="0" t="n">
        <v>11</v>
      </c>
      <c r="B12" s="0" t="s">
        <v>80</v>
      </c>
      <c r="C12" s="0" t="s">
        <v>81</v>
      </c>
      <c r="D12" s="0" t="s">
        <v>257</v>
      </c>
      <c r="E12" s="4" t="n">
        <v>1.63402777777778</v>
      </c>
      <c r="F12" s="0" t="n">
        <v>230</v>
      </c>
      <c r="G12" s="0" t="n">
        <v>230</v>
      </c>
      <c r="H12" s="0" t="n">
        <v>8.34</v>
      </c>
      <c r="I12" s="0" t="s">
        <v>121</v>
      </c>
      <c r="J12" s="0" t="s">
        <v>134</v>
      </c>
      <c r="K12" s="5" t="n">
        <v>45807</v>
      </c>
      <c r="L12" s="0" t="n">
        <v>59</v>
      </c>
    </row>
    <row r="13" customFormat="false" ht="15" hidden="false" customHeight="false" outlineLevel="0" collapsed="false">
      <c r="A13" s="0" t="n">
        <v>12</v>
      </c>
      <c r="B13" s="0" t="s">
        <v>80</v>
      </c>
      <c r="C13" s="0" t="s">
        <v>81</v>
      </c>
      <c r="D13" s="0" t="s">
        <v>258</v>
      </c>
      <c r="E13" s="4" t="n">
        <v>1.69722222222222</v>
      </c>
      <c r="F13" s="0" t="n">
        <v>240</v>
      </c>
      <c r="G13" s="0" t="n">
        <v>230</v>
      </c>
      <c r="H13" s="0" t="n">
        <v>8.56</v>
      </c>
      <c r="I13" s="0" t="s">
        <v>133</v>
      </c>
      <c r="J13" s="0" t="s">
        <v>141</v>
      </c>
      <c r="K13" s="5" t="n">
        <v>45772</v>
      </c>
      <c r="L13" s="0" t="n">
        <v>6</v>
      </c>
    </row>
    <row r="14" customFormat="false" ht="15" hidden="false" customHeight="false" outlineLevel="0" collapsed="false">
      <c r="A14" s="0" t="n">
        <v>13</v>
      </c>
      <c r="B14" s="0" t="s">
        <v>85</v>
      </c>
      <c r="C14" s="0" t="s">
        <v>86</v>
      </c>
      <c r="D14" s="0" t="s">
        <v>259</v>
      </c>
      <c r="E14" s="4" t="n">
        <v>1.74375</v>
      </c>
      <c r="F14" s="0" t="n">
        <v>250</v>
      </c>
      <c r="G14" s="0" t="n">
        <v>230</v>
      </c>
      <c r="H14" s="0" t="n">
        <v>8.89</v>
      </c>
      <c r="I14" s="0" t="s">
        <v>138</v>
      </c>
      <c r="J14" s="0" t="s">
        <v>260</v>
      </c>
      <c r="K14" s="5" t="n">
        <v>45757</v>
      </c>
      <c r="L14" s="0" t="n">
        <v>32</v>
      </c>
    </row>
    <row r="15" customFormat="false" ht="15" hidden="false" customHeight="false" outlineLevel="0" collapsed="false">
      <c r="A15" s="0" t="n">
        <v>14</v>
      </c>
      <c r="B15" s="0" t="s">
        <v>114</v>
      </c>
      <c r="C15" s="0" t="s">
        <v>115</v>
      </c>
      <c r="D15" s="0" t="s">
        <v>261</v>
      </c>
      <c r="E15" s="4" t="n">
        <v>1.51180555555556</v>
      </c>
      <c r="F15" s="0" t="n">
        <v>220</v>
      </c>
      <c r="G15" s="0" t="n">
        <v>220</v>
      </c>
      <c r="H15" s="0" t="n">
        <v>7.05</v>
      </c>
      <c r="I15" s="0" t="s">
        <v>140</v>
      </c>
      <c r="J15" s="0" t="s">
        <v>118</v>
      </c>
      <c r="K15" s="5" t="n">
        <v>45792</v>
      </c>
      <c r="L15" s="0" t="n">
        <v>31</v>
      </c>
    </row>
    <row r="16" customFormat="false" ht="15" hidden="false" customHeight="false" outlineLevel="0" collapsed="false">
      <c r="A16" s="0" t="n">
        <v>15</v>
      </c>
      <c r="B16" s="0" t="s">
        <v>89</v>
      </c>
      <c r="C16" s="0" t="s">
        <v>90</v>
      </c>
      <c r="D16" s="0" t="s">
        <v>262</v>
      </c>
      <c r="E16" s="4" t="n">
        <v>1.54097222222222</v>
      </c>
      <c r="F16" s="0" t="n">
        <v>220</v>
      </c>
      <c r="G16" s="0" t="n">
        <v>220</v>
      </c>
      <c r="H16" s="0" t="n">
        <v>6.94</v>
      </c>
      <c r="I16" s="0" t="s">
        <v>142</v>
      </c>
      <c r="J16" s="0" t="s">
        <v>143</v>
      </c>
      <c r="K16" s="5" t="n">
        <v>45781</v>
      </c>
      <c r="L16" s="0" t="n">
        <v>24</v>
      </c>
    </row>
    <row r="17" customFormat="false" ht="15" hidden="false" customHeight="false" outlineLevel="0" collapsed="false">
      <c r="A17" s="0" t="n">
        <v>16</v>
      </c>
      <c r="B17" s="0" t="s">
        <v>263</v>
      </c>
      <c r="C17" s="0" t="s">
        <v>264</v>
      </c>
      <c r="D17" s="0" t="s">
        <v>261</v>
      </c>
      <c r="E17" s="4" t="n">
        <v>1.56805555555556</v>
      </c>
      <c r="F17" s="0" t="n">
        <v>220</v>
      </c>
      <c r="G17" s="0" t="n">
        <v>220</v>
      </c>
      <c r="H17" s="0" t="n">
        <v>7.02</v>
      </c>
      <c r="I17" s="0" t="s">
        <v>144</v>
      </c>
      <c r="J17" s="0" t="s">
        <v>265</v>
      </c>
      <c r="K17" s="5" t="n">
        <v>45792</v>
      </c>
      <c r="L17" s="0" t="n">
        <v>21</v>
      </c>
    </row>
    <row r="18" customFormat="false" ht="15" hidden="false" customHeight="false" outlineLevel="0" collapsed="false">
      <c r="A18" s="0" t="n">
        <v>17</v>
      </c>
      <c r="B18" s="0" t="s">
        <v>103</v>
      </c>
      <c r="C18" s="0" t="s">
        <v>104</v>
      </c>
      <c r="D18" s="0" t="s">
        <v>261</v>
      </c>
      <c r="E18" s="4" t="n">
        <v>1.57361111111111</v>
      </c>
      <c r="F18" s="0" t="n">
        <v>220</v>
      </c>
      <c r="G18" s="0" t="n">
        <v>220</v>
      </c>
      <c r="H18" s="0" t="n">
        <v>7</v>
      </c>
      <c r="I18" s="0" t="s">
        <v>149</v>
      </c>
      <c r="J18" s="0" t="s">
        <v>106</v>
      </c>
      <c r="K18" s="5" t="n">
        <v>45792</v>
      </c>
      <c r="L18" s="0" t="n">
        <v>29</v>
      </c>
    </row>
    <row r="19" customFormat="false" ht="15" hidden="false" customHeight="false" outlineLevel="0" collapsed="false">
      <c r="A19" s="0" t="n">
        <v>18</v>
      </c>
      <c r="B19" s="0" t="s">
        <v>266</v>
      </c>
      <c r="C19" s="0" t="s">
        <v>267</v>
      </c>
      <c r="D19" s="0" t="s">
        <v>262</v>
      </c>
      <c r="E19" s="4" t="n">
        <v>1.62708333333333</v>
      </c>
      <c r="F19" s="0" t="n">
        <v>220</v>
      </c>
      <c r="G19" s="0" t="n">
        <v>220</v>
      </c>
      <c r="H19" s="0" t="n">
        <v>7</v>
      </c>
      <c r="I19" s="0" t="s">
        <v>151</v>
      </c>
      <c r="J19" s="0" t="s">
        <v>268</v>
      </c>
      <c r="K19" s="5" t="n">
        <v>45760</v>
      </c>
      <c r="L19" s="0" t="n">
        <v>26</v>
      </c>
    </row>
    <row r="20" customFormat="false" ht="15" hidden="false" customHeight="false" outlineLevel="0" collapsed="false">
      <c r="A20" s="0" t="n">
        <v>19</v>
      </c>
      <c r="B20" s="0" t="s">
        <v>99</v>
      </c>
      <c r="C20" s="0" t="s">
        <v>100</v>
      </c>
      <c r="D20" s="0" t="s">
        <v>262</v>
      </c>
      <c r="E20" s="4" t="n">
        <v>1.62986111111111</v>
      </c>
      <c r="F20" s="0" t="n">
        <v>220</v>
      </c>
      <c r="G20" s="0" t="n">
        <v>220</v>
      </c>
      <c r="H20" s="0" t="n">
        <v>7.1</v>
      </c>
      <c r="I20" s="0" t="s">
        <v>101</v>
      </c>
      <c r="J20" s="0" t="s">
        <v>102</v>
      </c>
      <c r="K20" s="5" t="n">
        <v>45775</v>
      </c>
      <c r="L20" s="0" t="n">
        <v>46</v>
      </c>
    </row>
    <row r="21" customFormat="false" ht="15" hidden="false" customHeight="false" outlineLevel="0" collapsed="false">
      <c r="A21" s="0" t="n">
        <v>20</v>
      </c>
      <c r="B21" s="0" t="s">
        <v>131</v>
      </c>
      <c r="C21" s="0" t="s">
        <v>72</v>
      </c>
      <c r="D21" s="0" t="s">
        <v>269</v>
      </c>
      <c r="E21" s="4" t="n">
        <v>1.63333333333333</v>
      </c>
      <c r="F21" s="0" t="n">
        <v>220</v>
      </c>
      <c r="G21" s="0" t="n">
        <v>220</v>
      </c>
      <c r="H21" s="0" t="n">
        <v>6.87</v>
      </c>
      <c r="I21" s="0" t="s">
        <v>154</v>
      </c>
      <c r="J21" s="0" t="s">
        <v>155</v>
      </c>
      <c r="K21" s="5" t="n">
        <v>45802</v>
      </c>
      <c r="L21" s="0" t="n">
        <v>48</v>
      </c>
    </row>
    <row r="22" customFormat="false" ht="15" hidden="false" customHeight="false" outlineLevel="0" collapsed="false">
      <c r="A22" s="0" t="n">
        <v>21</v>
      </c>
      <c r="B22" s="0" t="s">
        <v>80</v>
      </c>
      <c r="C22" s="0" t="s">
        <v>81</v>
      </c>
      <c r="D22" s="0" t="s">
        <v>270</v>
      </c>
      <c r="E22" s="4" t="n">
        <v>1.63541666666667</v>
      </c>
      <c r="F22" s="0" t="n">
        <v>220</v>
      </c>
      <c r="G22" s="0" t="n">
        <v>220</v>
      </c>
      <c r="H22" s="0" t="n">
        <v>8.3</v>
      </c>
      <c r="I22" s="0" t="s">
        <v>157</v>
      </c>
      <c r="J22" s="0" t="s">
        <v>161</v>
      </c>
      <c r="K22" s="5" t="n">
        <v>45807</v>
      </c>
      <c r="L22" s="0" t="n">
        <v>60</v>
      </c>
    </row>
    <row r="23" customFormat="false" ht="15" hidden="false" customHeight="false" outlineLevel="0" collapsed="false">
      <c r="A23" s="0" t="n">
        <v>22</v>
      </c>
      <c r="B23" s="0" t="s">
        <v>103</v>
      </c>
      <c r="C23" s="0" t="s">
        <v>104</v>
      </c>
      <c r="D23" s="0" t="s">
        <v>271</v>
      </c>
      <c r="E23" s="4" t="n">
        <v>1.59652777777778</v>
      </c>
      <c r="F23" s="0" t="n">
        <v>210</v>
      </c>
      <c r="G23" s="0" t="n">
        <v>210</v>
      </c>
      <c r="H23" s="0" t="n">
        <v>6.89</v>
      </c>
      <c r="I23" s="0" t="s">
        <v>160</v>
      </c>
      <c r="J23" s="0" t="s">
        <v>145</v>
      </c>
      <c r="K23" s="5" t="n">
        <v>45788</v>
      </c>
      <c r="L23" s="0" t="n">
        <v>54</v>
      </c>
    </row>
    <row r="24" customFormat="false" ht="15" hidden="false" customHeight="false" outlineLevel="0" collapsed="false">
      <c r="A24" s="0" t="n">
        <v>23</v>
      </c>
      <c r="B24" s="0" t="s">
        <v>107</v>
      </c>
      <c r="C24" s="0" t="s">
        <v>108</v>
      </c>
      <c r="D24" s="0" t="s">
        <v>271</v>
      </c>
      <c r="E24" s="4" t="n">
        <v>1.63541666666667</v>
      </c>
      <c r="F24" s="0" t="n">
        <v>210</v>
      </c>
      <c r="G24" s="0" t="n">
        <v>210</v>
      </c>
      <c r="H24" s="0" t="n">
        <v>6.74</v>
      </c>
      <c r="I24" s="0" t="s">
        <v>164</v>
      </c>
      <c r="J24" s="0" t="s">
        <v>165</v>
      </c>
      <c r="K24" s="5" t="n">
        <v>45789</v>
      </c>
      <c r="L24" s="0" t="n">
        <v>20</v>
      </c>
    </row>
    <row r="25" customFormat="false" ht="15" hidden="false" customHeight="false" outlineLevel="0" collapsed="false">
      <c r="A25" s="0" t="n">
        <v>24</v>
      </c>
      <c r="B25" s="0" t="s">
        <v>103</v>
      </c>
      <c r="C25" s="0" t="s">
        <v>104</v>
      </c>
      <c r="D25" s="0" t="s">
        <v>272</v>
      </c>
      <c r="E25" s="4" t="n">
        <v>1.45555555555556</v>
      </c>
      <c r="F25" s="0" t="n">
        <v>200</v>
      </c>
      <c r="G25" s="0" t="n">
        <v>200</v>
      </c>
      <c r="H25" s="0" t="n">
        <v>6.44</v>
      </c>
      <c r="I25" s="0" t="s">
        <v>167</v>
      </c>
      <c r="J25" s="0" t="s">
        <v>222</v>
      </c>
      <c r="K25" s="5" t="n">
        <v>45781</v>
      </c>
      <c r="L25" s="0" t="n">
        <v>27</v>
      </c>
    </row>
    <row r="26" customFormat="false" ht="15" hidden="false" customHeight="false" outlineLevel="0" collapsed="false">
      <c r="A26" s="0" t="n">
        <v>25</v>
      </c>
      <c r="B26" s="0" t="s">
        <v>89</v>
      </c>
      <c r="C26" s="0" t="s">
        <v>90</v>
      </c>
      <c r="D26" s="0" t="s">
        <v>273</v>
      </c>
      <c r="E26" s="4" t="n">
        <v>1.49375</v>
      </c>
      <c r="F26" s="0" t="n">
        <v>200</v>
      </c>
      <c r="G26" s="0" t="n">
        <v>200</v>
      </c>
      <c r="H26" s="0" t="n">
        <v>6.61</v>
      </c>
      <c r="I26" s="0" t="s">
        <v>172</v>
      </c>
      <c r="J26" s="0" t="s">
        <v>168</v>
      </c>
      <c r="K26" s="5" t="n">
        <v>45757</v>
      </c>
      <c r="L26" s="0" t="n">
        <v>36</v>
      </c>
    </row>
    <row r="27" customFormat="false" ht="15" hidden="false" customHeight="false" outlineLevel="0" collapsed="false">
      <c r="A27" s="0" t="n">
        <v>26</v>
      </c>
      <c r="B27" s="0" t="s">
        <v>123</v>
      </c>
      <c r="C27" s="0" t="s">
        <v>124</v>
      </c>
      <c r="D27" s="0" t="s">
        <v>274</v>
      </c>
      <c r="E27" s="4" t="n">
        <v>1.56111111111111</v>
      </c>
      <c r="F27" s="0" t="n">
        <v>200</v>
      </c>
      <c r="G27" s="0" t="n">
        <v>200</v>
      </c>
      <c r="H27" s="0" t="n">
        <v>6.58</v>
      </c>
      <c r="I27" s="0" t="s">
        <v>125</v>
      </c>
      <c r="J27" s="0" t="s">
        <v>126</v>
      </c>
      <c r="K27" s="5" t="n">
        <v>45799</v>
      </c>
      <c r="L27" s="0" t="n">
        <v>2</v>
      </c>
    </row>
    <row r="28" customFormat="false" ht="15" hidden="false" customHeight="false" outlineLevel="0" collapsed="false">
      <c r="A28" s="0" t="n">
        <v>27</v>
      </c>
      <c r="B28" s="0" t="s">
        <v>127</v>
      </c>
      <c r="C28" s="0" t="s">
        <v>128</v>
      </c>
      <c r="D28" s="0" t="s">
        <v>274</v>
      </c>
      <c r="E28" s="4" t="n">
        <v>1.56111111111111</v>
      </c>
      <c r="F28" s="0" t="n">
        <v>200</v>
      </c>
      <c r="G28" s="0" t="n">
        <v>200</v>
      </c>
      <c r="H28" s="0" t="n">
        <v>6.73</v>
      </c>
      <c r="I28" s="0" t="s">
        <v>129</v>
      </c>
      <c r="J28" s="0" t="s">
        <v>130</v>
      </c>
      <c r="K28" s="5" t="n">
        <v>45799</v>
      </c>
      <c r="L28" s="0" t="n">
        <v>25</v>
      </c>
    </row>
    <row r="29" customFormat="false" ht="15" hidden="false" customHeight="false" outlineLevel="0" collapsed="false">
      <c r="A29" s="0" t="n">
        <v>28</v>
      </c>
      <c r="B29" s="0" t="s">
        <v>135</v>
      </c>
      <c r="C29" s="0" t="s">
        <v>136</v>
      </c>
      <c r="D29" s="0" t="s">
        <v>275</v>
      </c>
      <c r="E29" s="4" t="n">
        <v>1.56458333333333</v>
      </c>
      <c r="F29" s="0" t="n">
        <v>190</v>
      </c>
      <c r="G29" s="0" t="n">
        <v>190</v>
      </c>
      <c r="H29" s="0" t="n">
        <v>6.26</v>
      </c>
      <c r="I29" s="0" t="s">
        <v>175</v>
      </c>
      <c r="J29" s="0" t="s">
        <v>139</v>
      </c>
      <c r="K29" s="5" t="n">
        <v>45754</v>
      </c>
      <c r="L29" s="0" t="n">
        <v>47</v>
      </c>
    </row>
    <row r="30" customFormat="false" ht="15" hidden="false" customHeight="false" outlineLevel="0" collapsed="false">
      <c r="A30" s="0" t="n">
        <v>29</v>
      </c>
      <c r="B30" s="0" t="s">
        <v>107</v>
      </c>
      <c r="C30" s="0" t="s">
        <v>108</v>
      </c>
      <c r="D30" s="0" t="s">
        <v>276</v>
      </c>
      <c r="E30" s="4" t="n">
        <v>1.60972222222222</v>
      </c>
      <c r="F30" s="0" t="n">
        <v>190</v>
      </c>
      <c r="G30" s="0" t="n">
        <v>190</v>
      </c>
      <c r="H30" s="0" t="n">
        <v>6.73</v>
      </c>
      <c r="I30" s="0" t="s">
        <v>184</v>
      </c>
      <c r="J30" s="0" t="s">
        <v>233</v>
      </c>
      <c r="K30" s="5" t="n">
        <v>45781</v>
      </c>
      <c r="L30" s="0" t="n">
        <v>9</v>
      </c>
    </row>
    <row r="31" customFormat="false" ht="15" hidden="false" customHeight="false" outlineLevel="0" collapsed="false">
      <c r="A31" s="0" t="n">
        <v>30</v>
      </c>
      <c r="B31" s="0" t="s">
        <v>119</v>
      </c>
      <c r="C31" s="0" t="s">
        <v>120</v>
      </c>
      <c r="D31" s="0" t="s">
        <v>275</v>
      </c>
      <c r="E31" s="4" t="n">
        <v>1.63888888888889</v>
      </c>
      <c r="F31" s="0" t="n">
        <v>190</v>
      </c>
      <c r="G31" s="0" t="n">
        <v>190</v>
      </c>
      <c r="H31" s="0" t="n">
        <v>6.39</v>
      </c>
      <c r="I31" s="0" t="s">
        <v>192</v>
      </c>
      <c r="J31" s="0" t="s">
        <v>122</v>
      </c>
      <c r="K31" s="5" t="n">
        <v>45750</v>
      </c>
      <c r="L31" s="0" t="n">
        <v>43</v>
      </c>
    </row>
    <row r="32" customFormat="false" ht="15" hidden="false" customHeight="false" outlineLevel="0" collapsed="false">
      <c r="A32" s="0" t="n">
        <v>31</v>
      </c>
      <c r="B32" s="0" t="s">
        <v>146</v>
      </c>
      <c r="C32" s="0" t="s">
        <v>147</v>
      </c>
      <c r="D32" s="0" t="s">
        <v>277</v>
      </c>
      <c r="E32" s="4" t="n">
        <v>1.49861111111111</v>
      </c>
      <c r="F32" s="0" t="n">
        <v>180</v>
      </c>
      <c r="G32" s="0" t="n">
        <v>180</v>
      </c>
      <c r="H32" s="0" t="n">
        <v>6.08</v>
      </c>
      <c r="I32" s="0" t="s">
        <v>195</v>
      </c>
      <c r="J32" s="0" t="s">
        <v>150</v>
      </c>
      <c r="K32" s="5" t="n">
        <v>45755</v>
      </c>
      <c r="L32" s="0" t="n">
        <v>41</v>
      </c>
    </row>
    <row r="33" customFormat="false" ht="15" hidden="false" customHeight="false" outlineLevel="0" collapsed="false">
      <c r="A33" s="0" t="n">
        <v>32</v>
      </c>
      <c r="B33" s="0" t="s">
        <v>127</v>
      </c>
      <c r="C33" s="0" t="s">
        <v>128</v>
      </c>
      <c r="D33" s="0" t="s">
        <v>278</v>
      </c>
      <c r="E33" s="4" t="n">
        <v>1.6375</v>
      </c>
      <c r="F33" s="0" t="n">
        <v>180</v>
      </c>
      <c r="G33" s="0" t="n">
        <v>180</v>
      </c>
      <c r="H33" s="0" t="n">
        <v>6.87</v>
      </c>
      <c r="I33" s="0" t="s">
        <v>180</v>
      </c>
      <c r="J33" s="0" t="s">
        <v>214</v>
      </c>
      <c r="K33" s="5" t="n">
        <v>45790</v>
      </c>
      <c r="L33" s="0" t="n">
        <v>45</v>
      </c>
    </row>
    <row r="34" customFormat="false" ht="15" hidden="false" customHeight="false" outlineLevel="0" collapsed="false">
      <c r="A34" s="0" t="n">
        <v>33</v>
      </c>
      <c r="B34" s="0" t="s">
        <v>131</v>
      </c>
      <c r="C34" s="0" t="s">
        <v>72</v>
      </c>
      <c r="D34" s="0" t="s">
        <v>279</v>
      </c>
      <c r="E34" s="4" t="n">
        <v>1.7</v>
      </c>
      <c r="F34" s="0" t="n">
        <v>190</v>
      </c>
      <c r="G34" s="0" t="n">
        <v>180</v>
      </c>
      <c r="H34" s="0" t="n">
        <v>5.78</v>
      </c>
      <c r="I34" s="0" t="s">
        <v>199</v>
      </c>
      <c r="J34" s="0" t="s">
        <v>280</v>
      </c>
      <c r="K34" s="5" t="n">
        <v>45803</v>
      </c>
      <c r="L34" s="0" t="n">
        <v>44</v>
      </c>
    </row>
    <row r="35" customFormat="false" ht="15" hidden="false" customHeight="false" outlineLevel="0" collapsed="false">
      <c r="A35" s="0" t="n">
        <v>33</v>
      </c>
      <c r="B35" s="0" t="s">
        <v>162</v>
      </c>
      <c r="C35" s="0" t="s">
        <v>72</v>
      </c>
      <c r="D35" s="0" t="s">
        <v>281</v>
      </c>
      <c r="E35" s="4" t="n">
        <v>1.74166666666667</v>
      </c>
      <c r="F35" s="0" t="n">
        <v>190</v>
      </c>
      <c r="G35" s="0" t="n">
        <v>180</v>
      </c>
      <c r="H35" s="0" t="n">
        <v>5.78</v>
      </c>
      <c r="I35" s="0" t="s">
        <v>202</v>
      </c>
      <c r="J35" s="0" t="s">
        <v>282</v>
      </c>
      <c r="K35" s="5" t="n">
        <v>45804</v>
      </c>
      <c r="L35" s="0" t="n">
        <v>45</v>
      </c>
    </row>
    <row r="36" customFormat="false" ht="15" hidden="false" customHeight="false" outlineLevel="0" collapsed="false">
      <c r="A36" s="0" t="n">
        <v>34</v>
      </c>
      <c r="B36" s="0" t="s">
        <v>123</v>
      </c>
      <c r="C36" s="0" t="s">
        <v>124</v>
      </c>
      <c r="D36" s="0" t="s">
        <v>283</v>
      </c>
      <c r="E36" s="4" t="n">
        <v>1.60416666666667</v>
      </c>
      <c r="F36" s="0" t="n">
        <v>170</v>
      </c>
      <c r="G36" s="0" t="n">
        <v>170</v>
      </c>
      <c r="H36" s="0" t="n">
        <v>6.44</v>
      </c>
      <c r="I36" s="0" t="s">
        <v>188</v>
      </c>
      <c r="J36" s="0" t="s">
        <v>181</v>
      </c>
      <c r="K36" s="5" t="n">
        <v>45777</v>
      </c>
      <c r="L36" s="0" t="n">
        <v>39</v>
      </c>
    </row>
    <row r="37" customFormat="false" ht="15" hidden="false" customHeight="false" outlineLevel="0" collapsed="false">
      <c r="A37" s="0" t="n">
        <v>35</v>
      </c>
      <c r="B37" s="0" t="s">
        <v>177</v>
      </c>
      <c r="C37" s="0" t="s">
        <v>178</v>
      </c>
      <c r="D37" s="0" t="s">
        <v>284</v>
      </c>
      <c r="E37" s="4" t="n">
        <v>1.6375</v>
      </c>
      <c r="F37" s="0" t="n">
        <v>170</v>
      </c>
      <c r="G37" s="0" t="n">
        <v>170</v>
      </c>
      <c r="H37" s="0" t="n">
        <v>5.74</v>
      </c>
      <c r="I37" s="0" t="s">
        <v>211</v>
      </c>
      <c r="J37" s="0" t="s">
        <v>212</v>
      </c>
      <c r="K37" s="5" t="n">
        <v>45782</v>
      </c>
      <c r="L37" s="0" t="n">
        <v>33</v>
      </c>
    </row>
    <row r="38" customFormat="false" ht="15" hidden="false" customHeight="false" outlineLevel="0" collapsed="false">
      <c r="A38" s="0" t="n">
        <v>36</v>
      </c>
      <c r="B38" s="0" t="s">
        <v>169</v>
      </c>
      <c r="C38" s="0" t="s">
        <v>170</v>
      </c>
      <c r="D38" s="0" t="s">
        <v>285</v>
      </c>
      <c r="E38" s="4" t="n">
        <v>1.65416666666667</v>
      </c>
      <c r="F38" s="0" t="n">
        <v>160</v>
      </c>
      <c r="G38" s="0" t="n">
        <v>160</v>
      </c>
      <c r="H38" s="0" t="n">
        <v>4.92</v>
      </c>
      <c r="I38" s="0" t="s">
        <v>202</v>
      </c>
      <c r="J38" s="0" t="s">
        <v>158</v>
      </c>
      <c r="K38" s="5" t="n">
        <v>45775</v>
      </c>
      <c r="L38" s="0" t="n">
        <v>13</v>
      </c>
    </row>
    <row r="39" customFormat="false" ht="15" hidden="false" customHeight="false" outlineLevel="0" collapsed="false">
      <c r="A39" s="0" t="n">
        <v>37</v>
      </c>
      <c r="B39" s="0" t="s">
        <v>219</v>
      </c>
      <c r="C39" s="0" t="s">
        <v>220</v>
      </c>
      <c r="D39" s="0" t="s">
        <v>286</v>
      </c>
      <c r="E39" s="4" t="n">
        <v>1.82777777777778</v>
      </c>
      <c r="F39" s="0" t="n">
        <v>200</v>
      </c>
      <c r="G39" s="0" t="n">
        <v>160</v>
      </c>
      <c r="H39" s="0" t="n">
        <v>7.38</v>
      </c>
      <c r="I39" s="0" t="s">
        <v>205</v>
      </c>
      <c r="J39" s="0" t="s">
        <v>287</v>
      </c>
      <c r="K39" s="5" t="n">
        <v>45807</v>
      </c>
      <c r="L39" s="0" t="n">
        <v>61</v>
      </c>
    </row>
    <row r="40" customFormat="false" ht="15" hidden="false" customHeight="false" outlineLevel="0" collapsed="false">
      <c r="A40" s="0" t="n">
        <v>38</v>
      </c>
      <c r="B40" s="0" t="s">
        <v>182</v>
      </c>
      <c r="C40" s="0" t="s">
        <v>183</v>
      </c>
      <c r="D40" s="0" t="s">
        <v>288</v>
      </c>
      <c r="E40" s="4" t="n">
        <v>1.64722222222222</v>
      </c>
      <c r="F40" s="0" t="n">
        <v>150</v>
      </c>
      <c r="G40" s="0" t="n">
        <v>150</v>
      </c>
      <c r="H40" s="0" t="n">
        <v>5.61</v>
      </c>
      <c r="I40" s="0" t="s">
        <v>208</v>
      </c>
      <c r="J40" s="0" t="s">
        <v>185</v>
      </c>
      <c r="K40" s="5" t="n">
        <v>45767</v>
      </c>
      <c r="L40" s="0" t="n">
        <v>11</v>
      </c>
    </row>
    <row r="41" customFormat="false" ht="15" hidden="false" customHeight="false" outlineLevel="0" collapsed="false">
      <c r="A41" s="0" t="n">
        <v>39</v>
      </c>
      <c r="B41" s="0" t="s">
        <v>186</v>
      </c>
      <c r="C41" s="0" t="s">
        <v>187</v>
      </c>
      <c r="D41" s="0" t="s">
        <v>289</v>
      </c>
      <c r="E41" s="4" t="n">
        <v>1.44861111111111</v>
      </c>
      <c r="F41" s="0" t="n">
        <v>140</v>
      </c>
      <c r="G41" s="0" t="n">
        <v>140</v>
      </c>
      <c r="H41" s="0" t="n">
        <v>4.87</v>
      </c>
      <c r="I41" s="0" t="s">
        <v>213</v>
      </c>
      <c r="J41" s="0" t="s">
        <v>189</v>
      </c>
      <c r="K41" s="5" t="n">
        <v>45805</v>
      </c>
      <c r="L41" s="0" t="n">
        <v>8</v>
      </c>
    </row>
    <row r="42" customFormat="false" ht="15" hidden="false" customHeight="false" outlineLevel="0" collapsed="false">
      <c r="A42" s="0" t="n">
        <v>40</v>
      </c>
      <c r="B42" s="0" t="s">
        <v>190</v>
      </c>
      <c r="C42" s="0" t="s">
        <v>191</v>
      </c>
      <c r="D42" s="0" t="s">
        <v>290</v>
      </c>
      <c r="E42" s="4" t="n">
        <v>1.46875</v>
      </c>
      <c r="F42" s="0" t="n">
        <v>130</v>
      </c>
      <c r="G42" s="0" t="n">
        <v>130</v>
      </c>
      <c r="H42" s="0" t="n">
        <v>4.33</v>
      </c>
      <c r="I42" s="0" t="s">
        <v>221</v>
      </c>
      <c r="J42" s="0" t="s">
        <v>173</v>
      </c>
      <c r="K42" s="5" t="n">
        <v>45776</v>
      </c>
      <c r="L42" s="0" t="n">
        <v>28</v>
      </c>
    </row>
    <row r="43" customFormat="false" ht="15" hidden="false" customHeight="false" outlineLevel="0" collapsed="false">
      <c r="A43" s="0" t="n">
        <v>41</v>
      </c>
      <c r="B43" s="0" t="s">
        <v>194</v>
      </c>
      <c r="C43" s="0" t="s">
        <v>119</v>
      </c>
      <c r="D43" s="0" t="s">
        <v>290</v>
      </c>
      <c r="E43" s="4" t="n">
        <v>1.53541666666667</v>
      </c>
      <c r="F43" s="0" t="n">
        <v>130</v>
      </c>
      <c r="G43" s="0" t="n">
        <v>130</v>
      </c>
      <c r="H43" s="0" t="n">
        <v>4.3</v>
      </c>
      <c r="I43" s="0" t="s">
        <v>223</v>
      </c>
      <c r="J43" s="0" t="s">
        <v>152</v>
      </c>
      <c r="K43" s="5" t="n">
        <v>45776</v>
      </c>
      <c r="L43" s="0" t="n">
        <v>49</v>
      </c>
    </row>
    <row r="44" customFormat="false" ht="15" hidden="false" customHeight="false" outlineLevel="0" collapsed="false">
      <c r="A44" s="0" t="n">
        <v>42</v>
      </c>
      <c r="B44" s="0" t="s">
        <v>123</v>
      </c>
      <c r="C44" s="0" t="s">
        <v>291</v>
      </c>
      <c r="D44" s="0" t="s">
        <v>290</v>
      </c>
      <c r="E44" s="4" t="n">
        <v>1.58402777777778</v>
      </c>
      <c r="F44" s="0" t="n">
        <v>130</v>
      </c>
      <c r="G44" s="0" t="n">
        <v>130</v>
      </c>
      <c r="H44" s="0" t="n">
        <v>4.35</v>
      </c>
      <c r="I44" s="0" t="s">
        <v>215</v>
      </c>
      <c r="J44" s="0" t="s">
        <v>292</v>
      </c>
      <c r="K44" s="5" t="n">
        <v>45767</v>
      </c>
      <c r="L44" s="0" t="n">
        <v>7</v>
      </c>
    </row>
    <row r="45" customFormat="false" ht="15" hidden="false" customHeight="false" outlineLevel="0" collapsed="false">
      <c r="A45" s="0" t="n">
        <v>43</v>
      </c>
      <c r="B45" s="0" t="s">
        <v>197</v>
      </c>
      <c r="C45" s="0" t="s">
        <v>198</v>
      </c>
      <c r="D45" s="0" t="s">
        <v>293</v>
      </c>
      <c r="E45" s="4" t="n">
        <v>1.42847222222222</v>
      </c>
      <c r="F45" s="0" t="n">
        <v>120</v>
      </c>
      <c r="G45" s="0" t="n">
        <v>120</v>
      </c>
      <c r="H45" s="0" t="n">
        <v>4.18</v>
      </c>
      <c r="I45" s="0" t="s">
        <v>226</v>
      </c>
      <c r="J45" s="0" t="s">
        <v>200</v>
      </c>
      <c r="K45" s="5" t="n">
        <v>45774</v>
      </c>
      <c r="L45" s="0" t="n">
        <v>34</v>
      </c>
    </row>
    <row r="46" customFormat="false" ht="15" hidden="false" customHeight="false" outlineLevel="0" collapsed="false">
      <c r="A46" s="0" t="n">
        <v>44</v>
      </c>
      <c r="B46" s="0" t="s">
        <v>107</v>
      </c>
      <c r="C46" s="0" t="s">
        <v>108</v>
      </c>
      <c r="D46" s="0" t="s">
        <v>294</v>
      </c>
      <c r="E46" s="4" t="n">
        <v>1.73611111111111</v>
      </c>
      <c r="F46" s="0" t="n">
        <v>140</v>
      </c>
      <c r="G46" s="0" t="n">
        <v>120</v>
      </c>
      <c r="H46" s="0" t="n">
        <v>5.74</v>
      </c>
      <c r="I46" s="0" t="s">
        <v>228</v>
      </c>
      <c r="J46" s="0" t="s">
        <v>282</v>
      </c>
      <c r="K46" s="5" t="n">
        <v>45766</v>
      </c>
      <c r="L46" s="0" t="n">
        <v>35</v>
      </c>
    </row>
    <row r="47" customFormat="false" ht="15" hidden="false" customHeight="false" outlineLevel="0" collapsed="false">
      <c r="A47" s="0" t="n">
        <v>45</v>
      </c>
      <c r="B47" s="0" t="s">
        <v>244</v>
      </c>
      <c r="C47" s="0" t="s">
        <v>245</v>
      </c>
      <c r="D47" s="0" t="s">
        <v>295</v>
      </c>
      <c r="E47" s="4" t="n">
        <v>1.96041666666667</v>
      </c>
      <c r="F47" s="0" t="n">
        <v>200</v>
      </c>
      <c r="G47" s="0" t="n">
        <v>120</v>
      </c>
      <c r="H47" s="0" t="n">
        <v>7.13</v>
      </c>
      <c r="I47" s="0" t="s">
        <v>217</v>
      </c>
      <c r="J47" s="0" t="s">
        <v>248</v>
      </c>
      <c r="K47" s="5" t="n">
        <v>45781</v>
      </c>
      <c r="L47" s="0" t="n">
        <v>3</v>
      </c>
    </row>
    <row r="48" customFormat="false" ht="15" hidden="false" customHeight="false" outlineLevel="0" collapsed="false">
      <c r="A48" s="0" t="n">
        <v>46</v>
      </c>
      <c r="B48" s="0" t="s">
        <v>296</v>
      </c>
      <c r="C48" s="0" t="s">
        <v>81</v>
      </c>
      <c r="D48" s="0" t="s">
        <v>297</v>
      </c>
      <c r="E48" s="4" t="n">
        <v>2.38541666666667</v>
      </c>
      <c r="F48" s="0" t="n">
        <v>250</v>
      </c>
      <c r="G48" s="0" t="n">
        <v>70</v>
      </c>
      <c r="H48" s="0" t="n">
        <v>9.05</v>
      </c>
      <c r="I48" s="0" t="s">
        <v>235</v>
      </c>
      <c r="J48" s="0" t="s">
        <v>216</v>
      </c>
      <c r="K48" s="5" t="n">
        <v>45801</v>
      </c>
      <c r="L48" s="0" t="n">
        <v>55</v>
      </c>
    </row>
    <row r="49" customFormat="false" ht="15" hidden="false" customHeight="false" outlineLevel="0" collapsed="false">
      <c r="A49" s="0" t="n">
        <v>47</v>
      </c>
      <c r="B49" s="0" t="s">
        <v>114</v>
      </c>
      <c r="C49" s="0" t="s">
        <v>115</v>
      </c>
      <c r="D49" s="0" t="s">
        <v>261</v>
      </c>
      <c r="E49" s="4" t="n">
        <v>2.37291666666667</v>
      </c>
      <c r="F49" s="0" t="n">
        <v>220</v>
      </c>
      <c r="G49" s="0" t="n">
        <v>50</v>
      </c>
      <c r="H49" s="0" t="n">
        <v>7.43</v>
      </c>
      <c r="I49" s="0" t="s">
        <v>230</v>
      </c>
      <c r="J49" s="0" t="s">
        <v>224</v>
      </c>
      <c r="K49" s="5" t="n">
        <v>45764</v>
      </c>
      <c r="L49" s="0" t="n">
        <v>53</v>
      </c>
    </row>
    <row r="50" customFormat="false" ht="15" hidden="false" customHeight="false" outlineLevel="0" collapsed="false">
      <c r="A50" s="0" t="n">
        <v>48</v>
      </c>
      <c r="B50" s="0" t="s">
        <v>99</v>
      </c>
      <c r="C50" s="0" t="s">
        <v>100</v>
      </c>
      <c r="D50" s="0" t="s">
        <v>261</v>
      </c>
      <c r="E50" s="4" t="n">
        <v>2.37777777777778</v>
      </c>
      <c r="F50" s="0" t="n">
        <v>220</v>
      </c>
      <c r="G50" s="0" t="n">
        <v>40</v>
      </c>
      <c r="H50" s="0" t="n">
        <v>7.64</v>
      </c>
      <c r="I50" s="0" t="s">
        <v>237</v>
      </c>
      <c r="J50" s="0" t="s">
        <v>218</v>
      </c>
      <c r="K50" s="5" t="n">
        <v>45764</v>
      </c>
      <c r="L50" s="0" t="n">
        <v>12</v>
      </c>
    </row>
    <row r="51" customFormat="false" ht="15" hidden="false" customHeight="false" outlineLevel="0" collapsed="false">
      <c r="A51" s="0" t="n">
        <v>49</v>
      </c>
      <c r="B51" s="0" t="s">
        <v>298</v>
      </c>
      <c r="C51" s="0" t="s">
        <v>299</v>
      </c>
      <c r="D51" s="0" t="s">
        <v>261</v>
      </c>
      <c r="E51" s="4" t="n">
        <v>2.37986111111111</v>
      </c>
      <c r="F51" s="0" t="n">
        <v>220</v>
      </c>
      <c r="G51" s="0" t="n">
        <v>40</v>
      </c>
      <c r="H51" s="0" t="n">
        <v>7.27</v>
      </c>
      <c r="I51" s="0" t="s">
        <v>232</v>
      </c>
      <c r="J51" s="0" t="s">
        <v>300</v>
      </c>
      <c r="K51" s="5" t="n">
        <v>45764</v>
      </c>
      <c r="L51" s="0" t="n">
        <v>42</v>
      </c>
    </row>
    <row r="52" customFormat="false" ht="15" hidden="false" customHeight="false" outlineLevel="0" collapsed="false">
      <c r="A52" s="0" t="n">
        <v>50</v>
      </c>
      <c r="B52" s="0" t="s">
        <v>301</v>
      </c>
      <c r="C52" s="0" t="s">
        <v>302</v>
      </c>
      <c r="D52" s="0" t="s">
        <v>261</v>
      </c>
      <c r="E52" s="4" t="n">
        <v>2.38125</v>
      </c>
      <c r="F52" s="0" t="n">
        <v>220</v>
      </c>
      <c r="G52" s="0" t="n">
        <v>40</v>
      </c>
      <c r="H52" s="0" t="n">
        <v>7.28</v>
      </c>
      <c r="I52" s="0" t="s">
        <v>240</v>
      </c>
      <c r="J52" s="0" t="s">
        <v>303</v>
      </c>
      <c r="K52" s="5" t="n">
        <v>45764</v>
      </c>
      <c r="L52" s="0" t="n">
        <v>58</v>
      </c>
    </row>
    <row r="53" customFormat="false" ht="15" hidden="false" customHeight="false" outlineLevel="0" collapsed="false">
      <c r="A53" s="0" t="n">
        <v>51</v>
      </c>
      <c r="B53" s="0" t="s">
        <v>304</v>
      </c>
      <c r="C53" s="0" t="s">
        <v>305</v>
      </c>
      <c r="D53" s="0" t="s">
        <v>261</v>
      </c>
      <c r="E53" s="4" t="n">
        <v>2.38194444444444</v>
      </c>
      <c r="F53" s="0" t="n">
        <v>220</v>
      </c>
      <c r="G53" s="0" t="n">
        <v>40</v>
      </c>
      <c r="H53" s="0" t="n">
        <v>7.33</v>
      </c>
      <c r="I53" s="0" t="s">
        <v>242</v>
      </c>
      <c r="J53" s="0" t="s">
        <v>306</v>
      </c>
      <c r="K53" s="5" t="n">
        <v>45764</v>
      </c>
      <c r="L53" s="0" t="n">
        <v>30</v>
      </c>
    </row>
    <row r="54" customFormat="false" ht="15" hidden="false" customHeight="false" outlineLevel="0" collapsed="false">
      <c r="A54" s="0" t="n">
        <v>52</v>
      </c>
      <c r="B54" s="0" t="s">
        <v>296</v>
      </c>
      <c r="C54" s="0" t="s">
        <v>81</v>
      </c>
      <c r="D54" s="0" t="s">
        <v>261</v>
      </c>
      <c r="E54" s="4" t="n">
        <v>2.38680555555556</v>
      </c>
      <c r="F54" s="0" t="n">
        <v>220</v>
      </c>
      <c r="G54" s="0" t="n">
        <v>40</v>
      </c>
      <c r="H54" s="0" t="n">
        <v>6.92</v>
      </c>
      <c r="I54" s="0" t="s">
        <v>247</v>
      </c>
      <c r="J54" s="0" t="s">
        <v>238</v>
      </c>
      <c r="K54" s="5" t="n">
        <v>45764</v>
      </c>
      <c r="L54" s="0" t="n">
        <v>38</v>
      </c>
    </row>
    <row r="55" customFormat="false" ht="15" hidden="false" customHeight="false" outlineLevel="0" collapsed="false">
      <c r="A55" s="0" t="n">
        <v>53</v>
      </c>
      <c r="B55" s="0" t="s">
        <v>307</v>
      </c>
      <c r="C55" s="0" t="s">
        <v>308</v>
      </c>
      <c r="D55" s="0" t="s">
        <v>261</v>
      </c>
      <c r="E55" s="4" t="n">
        <v>2.39305555555556</v>
      </c>
      <c r="F55" s="0" t="n">
        <v>220</v>
      </c>
      <c r="G55" s="0" t="n">
        <v>40</v>
      </c>
      <c r="H55" s="0" t="n">
        <v>7.01</v>
      </c>
      <c r="I55" s="0" t="s">
        <v>309</v>
      </c>
      <c r="J55" s="0" t="s">
        <v>310</v>
      </c>
      <c r="K55" s="5" t="n">
        <v>45764</v>
      </c>
      <c r="L55" s="0" t="n">
        <v>57</v>
      </c>
    </row>
    <row r="56" customFormat="false" ht="15" hidden="false" customHeight="false" outlineLevel="0" collapsed="false">
      <c r="A56" s="0" t="n">
        <v>54</v>
      </c>
      <c r="B56" s="0" t="s">
        <v>123</v>
      </c>
      <c r="C56" s="0" t="s">
        <v>124</v>
      </c>
      <c r="D56" s="0" t="s">
        <v>311</v>
      </c>
      <c r="E56" s="6" t="n">
        <v>0.0416898148148148</v>
      </c>
      <c r="F56" s="0" t="n">
        <v>190</v>
      </c>
      <c r="G56" s="0" t="n">
        <v>-20</v>
      </c>
      <c r="H56" s="0" t="n">
        <v>6.78</v>
      </c>
      <c r="I56" s="0" t="s">
        <v>312</v>
      </c>
      <c r="J56" s="0" t="s">
        <v>313</v>
      </c>
      <c r="K56" s="5" t="n">
        <v>45756</v>
      </c>
      <c r="L56" s="0" t="n">
        <v>18</v>
      </c>
    </row>
    <row r="57" customFormat="false" ht="15" hidden="false" customHeight="false" outlineLevel="0" collapsed="false">
      <c r="A57" s="0" t="n">
        <v>55</v>
      </c>
      <c r="B57" s="0" t="s">
        <v>127</v>
      </c>
      <c r="C57" s="0" t="s">
        <v>128</v>
      </c>
      <c r="D57" s="0" t="s">
        <v>311</v>
      </c>
      <c r="E57" s="6" t="n">
        <v>0.0417592592592593</v>
      </c>
      <c r="F57" s="0" t="n">
        <v>190</v>
      </c>
      <c r="G57" s="0" t="n">
        <v>-20</v>
      </c>
      <c r="H57" s="0" t="n">
        <v>6.58</v>
      </c>
      <c r="I57" s="0" t="s">
        <v>314</v>
      </c>
      <c r="J57" s="0" t="s">
        <v>236</v>
      </c>
      <c r="K57" s="5" t="n">
        <v>45757</v>
      </c>
      <c r="L57" s="0" t="n">
        <v>14</v>
      </c>
    </row>
    <row r="58" customFormat="false" ht="15" hidden="false" customHeight="false" outlineLevel="0" collapsed="false">
      <c r="A58" s="0" t="n">
        <v>56</v>
      </c>
      <c r="B58" s="0" t="s">
        <v>315</v>
      </c>
      <c r="C58" s="0" t="s">
        <v>316</v>
      </c>
      <c r="D58" s="0" t="s">
        <v>311</v>
      </c>
      <c r="E58" s="6" t="n">
        <v>0.0417592592592593</v>
      </c>
      <c r="F58" s="0" t="n">
        <v>190</v>
      </c>
      <c r="G58" s="0" t="n">
        <v>-20</v>
      </c>
      <c r="H58" s="0" t="n">
        <v>6.85</v>
      </c>
      <c r="I58" s="0" t="s">
        <v>317</v>
      </c>
      <c r="J58" s="0" t="s">
        <v>318</v>
      </c>
      <c r="K58" s="5" t="n">
        <v>45756</v>
      </c>
      <c r="L58" s="0" t="n">
        <v>40</v>
      </c>
    </row>
    <row r="59" customFormat="false" ht="15" hidden="false" customHeight="false" outlineLevel="0" collapsed="false">
      <c r="A59" s="0" t="n">
        <v>57</v>
      </c>
      <c r="B59" s="0" t="s">
        <v>319</v>
      </c>
      <c r="C59" s="0" t="s">
        <v>320</v>
      </c>
      <c r="D59" s="0" t="s">
        <v>311</v>
      </c>
      <c r="E59" s="6" t="n">
        <v>0.0418865740740741</v>
      </c>
      <c r="F59" s="0" t="n">
        <v>190</v>
      </c>
      <c r="G59" s="0" t="n">
        <v>-20</v>
      </c>
      <c r="H59" s="0" t="n">
        <v>6.78</v>
      </c>
      <c r="I59" s="0" t="s">
        <v>321</v>
      </c>
      <c r="J59" s="0" t="s">
        <v>322</v>
      </c>
      <c r="K59" s="5" t="n">
        <v>45756</v>
      </c>
      <c r="L59" s="0" t="n">
        <v>16</v>
      </c>
    </row>
    <row r="60" customFormat="false" ht="15" hidden="false" customHeight="false" outlineLevel="0" collapsed="false">
      <c r="A60" s="0" t="n">
        <v>58</v>
      </c>
      <c r="B60" s="0" t="s">
        <v>323</v>
      </c>
      <c r="C60" s="0" t="s">
        <v>324</v>
      </c>
      <c r="D60" s="0" t="s">
        <v>311</v>
      </c>
      <c r="E60" s="6" t="n">
        <v>0.0419097222222222</v>
      </c>
      <c r="F60" s="0" t="n">
        <v>190</v>
      </c>
      <c r="G60" s="0" t="n">
        <v>-20</v>
      </c>
      <c r="H60" s="0" t="n">
        <v>6.81</v>
      </c>
      <c r="I60" s="0" t="s">
        <v>325</v>
      </c>
      <c r="J60" s="0" t="s">
        <v>243</v>
      </c>
      <c r="K60" s="5" t="n">
        <v>45756</v>
      </c>
      <c r="L60" s="0" t="n">
        <v>52</v>
      </c>
    </row>
    <row r="61" customFormat="false" ht="15" hidden="false" customHeight="false" outlineLevel="0" collapsed="false">
      <c r="A61" s="0" t="n">
        <v>59</v>
      </c>
      <c r="B61" s="0" t="s">
        <v>186</v>
      </c>
      <c r="C61" s="0" t="s">
        <v>187</v>
      </c>
      <c r="D61" s="0" t="s">
        <v>284</v>
      </c>
      <c r="E61" s="6" t="n">
        <v>0.0418865740740741</v>
      </c>
      <c r="F61" s="0" t="n">
        <v>170</v>
      </c>
      <c r="G61" s="0" t="n">
        <v>-40</v>
      </c>
      <c r="H61" s="0" t="n">
        <v>6.24</v>
      </c>
      <c r="I61" s="0" t="s">
        <v>326</v>
      </c>
      <c r="J61" s="0" t="s">
        <v>327</v>
      </c>
      <c r="K61" s="5" t="n">
        <v>45756</v>
      </c>
      <c r="L61" s="0" t="n">
        <v>51</v>
      </c>
    </row>
    <row r="62" customFormat="false" ht="15" hidden="false" customHeight="false" outlineLevel="0" collapsed="false">
      <c r="A62" s="0" t="n">
        <v>60</v>
      </c>
      <c r="B62" s="0" t="s">
        <v>123</v>
      </c>
      <c r="C62" s="0" t="s">
        <v>124</v>
      </c>
      <c r="D62" s="0" t="s">
        <v>328</v>
      </c>
      <c r="E62" s="6" t="n">
        <v>0.0442824074074074</v>
      </c>
      <c r="F62" s="0" t="n">
        <v>200</v>
      </c>
      <c r="G62" s="0" t="n">
        <v>-40</v>
      </c>
      <c r="H62" s="0" t="n">
        <v>8.28</v>
      </c>
      <c r="I62" s="0" t="s">
        <v>329</v>
      </c>
      <c r="J62" s="0" t="s">
        <v>330</v>
      </c>
      <c r="K62" s="5" t="n">
        <v>45792</v>
      </c>
      <c r="L62" s="0" t="n">
        <v>15</v>
      </c>
    </row>
    <row r="63" customFormat="false" ht="15" hidden="false" customHeight="false" outlineLevel="0" collapsed="false">
      <c r="A63" s="0" t="n">
        <v>61</v>
      </c>
      <c r="B63" s="0" t="s">
        <v>127</v>
      </c>
      <c r="C63" s="0" t="s">
        <v>128</v>
      </c>
      <c r="D63" s="0" t="s">
        <v>328</v>
      </c>
      <c r="E63" s="6" t="n">
        <v>0.0442939814814815</v>
      </c>
      <c r="F63" s="0" t="n">
        <v>200</v>
      </c>
      <c r="G63" s="0" t="n">
        <v>-40</v>
      </c>
      <c r="H63" s="0" t="n">
        <v>9.32</v>
      </c>
      <c r="I63" s="0" t="s">
        <v>331</v>
      </c>
      <c r="J63" s="0" t="s">
        <v>332</v>
      </c>
      <c r="K63" s="5" t="n">
        <v>45792</v>
      </c>
      <c r="L63" s="0" t="n">
        <v>10</v>
      </c>
    </row>
    <row r="64" customFormat="false" ht="15" hidden="false" customHeight="false" outlineLevel="0" collapsed="false">
      <c r="A64" s="0" t="n">
        <v>62</v>
      </c>
      <c r="B64" s="0" t="s">
        <v>89</v>
      </c>
      <c r="C64" s="0" t="s">
        <v>90</v>
      </c>
      <c r="D64" s="0" t="s">
        <v>289</v>
      </c>
      <c r="E64" s="4" t="n">
        <v>2.41736111111111</v>
      </c>
      <c r="F64" s="0" t="n">
        <v>140</v>
      </c>
      <c r="G64" s="0" t="n">
        <v>-50</v>
      </c>
      <c r="H64" s="0" t="n">
        <v>4.79</v>
      </c>
      <c r="I64" s="0" t="s">
        <v>333</v>
      </c>
      <c r="J64" s="0" t="s">
        <v>334</v>
      </c>
      <c r="K64" s="5" t="n">
        <v>45753</v>
      </c>
      <c r="L64" s="0" t="n">
        <v>23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:A"/>
    </sheetView>
  </sheetViews>
  <sheetFormatPr defaultColWidth="8.59765625" defaultRowHeight="15" customHeight="true" zeroHeight="false" outlineLevelRow="0" outlineLevelCol="0"/>
  <cols>
    <col collapsed="false" customWidth="true" hidden="false" outlineLevel="0" max="11" min="11" style="0" width="10.71"/>
  </cols>
  <sheetData>
    <row r="1" customFormat="false" ht="15" hidden="false" customHeight="false" outlineLevel="0" collapsed="false">
      <c r="A1" s="0" t="s">
        <v>59</v>
      </c>
      <c r="B1" s="0" t="s">
        <v>60</v>
      </c>
      <c r="C1" s="0" t="s">
        <v>61</v>
      </c>
      <c r="D1" s="0" t="s">
        <v>62</v>
      </c>
      <c r="E1" s="0" t="s">
        <v>63</v>
      </c>
      <c r="F1" s="0" t="s">
        <v>64</v>
      </c>
      <c r="G1" s="0" t="s">
        <v>65</v>
      </c>
      <c r="H1" s="0" t="s">
        <v>66</v>
      </c>
      <c r="I1" s="0" t="s">
        <v>67</v>
      </c>
      <c r="J1" s="0" t="s">
        <v>68</v>
      </c>
      <c r="K1" s="0" t="s">
        <v>69</v>
      </c>
      <c r="L1" s="0" t="s">
        <v>70</v>
      </c>
    </row>
    <row r="2" customFormat="false" ht="15" hidden="false" customHeight="false" outlineLevel="0" collapsed="false">
      <c r="A2" s="0" t="n">
        <v>1</v>
      </c>
      <c r="B2" s="0" t="s">
        <v>85</v>
      </c>
      <c r="C2" s="0" t="s">
        <v>86</v>
      </c>
      <c r="D2" s="0" t="s">
        <v>335</v>
      </c>
      <c r="E2" s="6" t="n">
        <v>0.0560300925925926</v>
      </c>
      <c r="F2" s="0" t="n">
        <v>200</v>
      </c>
      <c r="G2" s="0" t="n">
        <v>190</v>
      </c>
      <c r="H2" s="0" t="n">
        <v>11.33</v>
      </c>
      <c r="I2" s="0" t="s">
        <v>74</v>
      </c>
      <c r="J2" s="0" t="s">
        <v>88</v>
      </c>
      <c r="K2" s="5" t="n">
        <v>45914</v>
      </c>
      <c r="L2" s="0" t="n">
        <v>19</v>
      </c>
    </row>
    <row r="3" customFormat="false" ht="15" hidden="false" customHeight="false" outlineLevel="0" collapsed="false">
      <c r="A3" s="0" t="n">
        <v>2</v>
      </c>
      <c r="B3" s="0" t="s">
        <v>103</v>
      </c>
      <c r="C3" s="0" t="s">
        <v>104</v>
      </c>
      <c r="D3" s="0" t="s">
        <v>336</v>
      </c>
      <c r="E3" s="7" t="n">
        <v>0</v>
      </c>
      <c r="F3" s="0" t="n">
        <v>170</v>
      </c>
      <c r="G3" s="0" t="n">
        <v>170</v>
      </c>
      <c r="H3" s="0" t="n">
        <v>11.85</v>
      </c>
      <c r="I3" s="0" t="s">
        <v>83</v>
      </c>
      <c r="J3" s="0" t="s">
        <v>106</v>
      </c>
      <c r="K3" s="5" t="n">
        <v>45927</v>
      </c>
      <c r="L3" s="0" t="n">
        <v>12</v>
      </c>
    </row>
    <row r="4" customFormat="false" ht="15" hidden="false" customHeight="false" outlineLevel="0" collapsed="false">
      <c r="A4" s="0" t="n">
        <v>3</v>
      </c>
      <c r="B4" s="0" t="s">
        <v>103</v>
      </c>
      <c r="C4" s="0" t="s">
        <v>104</v>
      </c>
      <c r="D4" s="0" t="s">
        <v>337</v>
      </c>
      <c r="E4" s="6" t="n">
        <v>0.0543634259259259</v>
      </c>
      <c r="F4" s="0" t="n">
        <v>160</v>
      </c>
      <c r="G4" s="0" t="n">
        <v>160</v>
      </c>
      <c r="H4" s="0" t="n">
        <v>12.62</v>
      </c>
      <c r="I4" s="0" t="s">
        <v>87</v>
      </c>
      <c r="J4" s="0" t="s">
        <v>145</v>
      </c>
      <c r="K4" s="5" t="n">
        <v>45927</v>
      </c>
      <c r="L4" s="0" t="n">
        <v>11</v>
      </c>
    </row>
    <row r="5" customFormat="false" ht="15" hidden="false" customHeight="false" outlineLevel="0" collapsed="false">
      <c r="A5" s="0" t="n">
        <v>4</v>
      </c>
      <c r="B5" s="0" t="s">
        <v>119</v>
      </c>
      <c r="C5" s="0" t="s">
        <v>120</v>
      </c>
      <c r="D5" s="0" t="s">
        <v>338</v>
      </c>
      <c r="E5" s="6" t="n">
        <v>0.0547453703703704</v>
      </c>
      <c r="F5" s="0" t="n">
        <v>160</v>
      </c>
      <c r="G5" s="0" t="n">
        <v>160</v>
      </c>
      <c r="H5" s="0" t="n">
        <v>9.46</v>
      </c>
      <c r="I5" s="0" t="s">
        <v>92</v>
      </c>
      <c r="J5" s="0" t="s">
        <v>122</v>
      </c>
      <c r="K5" s="5" t="n">
        <v>45881</v>
      </c>
      <c r="L5" s="0" t="n">
        <v>20</v>
      </c>
    </row>
    <row r="6" customFormat="false" ht="15" hidden="false" customHeight="false" outlineLevel="0" collapsed="false">
      <c r="A6" s="0" t="n">
        <v>5</v>
      </c>
      <c r="B6" s="0" t="s">
        <v>99</v>
      </c>
      <c r="C6" s="0" t="s">
        <v>100</v>
      </c>
      <c r="D6" s="0" t="s">
        <v>339</v>
      </c>
      <c r="E6" s="6" t="n">
        <v>0.0542592592592593</v>
      </c>
      <c r="F6" s="0" t="n">
        <v>150</v>
      </c>
      <c r="G6" s="0" t="n">
        <v>150</v>
      </c>
      <c r="H6" s="0" t="n">
        <v>11.12</v>
      </c>
      <c r="I6" s="0" t="s">
        <v>101</v>
      </c>
      <c r="J6" s="0" t="s">
        <v>102</v>
      </c>
      <c r="K6" s="5" t="n">
        <v>45919</v>
      </c>
      <c r="L6" s="0" t="n">
        <v>23</v>
      </c>
    </row>
    <row r="7" customFormat="false" ht="15" hidden="false" customHeight="false" outlineLevel="0" collapsed="false">
      <c r="A7" s="0" t="n">
        <v>6</v>
      </c>
      <c r="B7" s="0" t="s">
        <v>89</v>
      </c>
      <c r="C7" s="0" t="s">
        <v>90</v>
      </c>
      <c r="D7" s="0" t="s">
        <v>340</v>
      </c>
      <c r="E7" s="6" t="n">
        <v>0.0499537037037037</v>
      </c>
      <c r="F7" s="0" t="n">
        <v>140</v>
      </c>
      <c r="G7" s="0" t="n">
        <v>140</v>
      </c>
      <c r="H7" s="0" t="n">
        <v>10.24</v>
      </c>
      <c r="I7" s="0" t="s">
        <v>95</v>
      </c>
      <c r="J7" s="0" t="s">
        <v>84</v>
      </c>
      <c r="K7" s="5" t="n">
        <v>45928</v>
      </c>
      <c r="L7" s="0" t="n">
        <v>22</v>
      </c>
    </row>
    <row r="8" customFormat="false" ht="15" hidden="false" customHeight="false" outlineLevel="0" collapsed="false">
      <c r="A8" s="0" t="n">
        <v>7</v>
      </c>
      <c r="B8" s="0" t="s">
        <v>135</v>
      </c>
      <c r="C8" s="0" t="s">
        <v>136</v>
      </c>
      <c r="D8" s="0" t="s">
        <v>341</v>
      </c>
      <c r="E8" s="6" t="n">
        <v>0.0537037037037037</v>
      </c>
      <c r="F8" s="0" t="n">
        <v>140</v>
      </c>
      <c r="G8" s="0" t="n">
        <v>140</v>
      </c>
      <c r="H8" s="0" t="n">
        <v>9.01</v>
      </c>
      <c r="I8" s="0" t="s">
        <v>97</v>
      </c>
      <c r="J8" s="0" t="s">
        <v>139</v>
      </c>
      <c r="K8" s="5" t="n">
        <v>45924</v>
      </c>
      <c r="L8" s="0" t="n">
        <v>10</v>
      </c>
    </row>
    <row r="9" customFormat="false" ht="15" hidden="false" customHeight="false" outlineLevel="0" collapsed="false">
      <c r="A9" s="0" t="n">
        <v>8</v>
      </c>
      <c r="B9" s="0" t="s">
        <v>123</v>
      </c>
      <c r="C9" s="0" t="s">
        <v>124</v>
      </c>
      <c r="D9" s="0" t="s">
        <v>342</v>
      </c>
      <c r="E9" s="6" t="n">
        <v>0.054212962962963</v>
      </c>
      <c r="F9" s="0" t="n">
        <v>140</v>
      </c>
      <c r="G9" s="0" t="n">
        <v>140</v>
      </c>
      <c r="H9" s="0" t="n">
        <v>9.41</v>
      </c>
      <c r="I9" s="0" t="s">
        <v>125</v>
      </c>
      <c r="J9" s="0" t="s">
        <v>126</v>
      </c>
      <c r="K9" s="5" t="n">
        <v>45923</v>
      </c>
      <c r="L9" s="0" t="n">
        <v>13</v>
      </c>
    </row>
    <row r="10" customFormat="false" ht="15" hidden="false" customHeight="false" outlineLevel="0" collapsed="false">
      <c r="A10" s="0" t="n">
        <v>9</v>
      </c>
      <c r="B10" s="0" t="s">
        <v>127</v>
      </c>
      <c r="C10" s="0" t="s">
        <v>128</v>
      </c>
      <c r="D10" s="0" t="s">
        <v>342</v>
      </c>
      <c r="E10" s="6" t="n">
        <v>0.0542476851851852</v>
      </c>
      <c r="F10" s="0" t="n">
        <v>140</v>
      </c>
      <c r="G10" s="0" t="n">
        <v>140</v>
      </c>
      <c r="H10" s="0" t="n">
        <v>10.8</v>
      </c>
      <c r="I10" s="0" t="s">
        <v>129</v>
      </c>
      <c r="J10" s="0" t="s">
        <v>130</v>
      </c>
      <c r="K10" s="5" t="n">
        <v>45923</v>
      </c>
      <c r="L10" s="0" t="n">
        <v>15</v>
      </c>
    </row>
    <row r="11" customFormat="false" ht="15" hidden="false" customHeight="false" outlineLevel="0" collapsed="false">
      <c r="A11" s="0" t="n">
        <v>10</v>
      </c>
      <c r="B11" s="0" t="s">
        <v>169</v>
      </c>
      <c r="C11" s="0" t="s">
        <v>170</v>
      </c>
      <c r="D11" s="0" t="s">
        <v>343</v>
      </c>
      <c r="E11" s="6" t="n">
        <v>0.0480092592592593</v>
      </c>
      <c r="F11" s="0" t="n">
        <v>120</v>
      </c>
      <c r="G11" s="0" t="n">
        <v>120</v>
      </c>
      <c r="H11" s="0" t="n">
        <v>7.75</v>
      </c>
      <c r="I11" s="0" t="s">
        <v>105</v>
      </c>
      <c r="J11" s="0" t="s">
        <v>158</v>
      </c>
      <c r="K11" s="5" t="n">
        <v>45930</v>
      </c>
      <c r="L11" s="0" t="n">
        <v>17</v>
      </c>
    </row>
    <row r="12" customFormat="false" ht="15" hidden="false" customHeight="false" outlineLevel="0" collapsed="false">
      <c r="A12" s="0" t="n">
        <v>11</v>
      </c>
      <c r="B12" s="0" t="s">
        <v>135</v>
      </c>
      <c r="C12" s="0" t="s">
        <v>136</v>
      </c>
      <c r="D12" s="0" t="s">
        <v>344</v>
      </c>
      <c r="E12" s="6" t="n">
        <v>0.0487152777777778</v>
      </c>
      <c r="F12" s="0" t="n">
        <v>120</v>
      </c>
      <c r="G12" s="0" t="n">
        <v>120</v>
      </c>
      <c r="H12" s="0" t="n">
        <v>8.17</v>
      </c>
      <c r="I12" s="0" t="s">
        <v>110</v>
      </c>
      <c r="J12" s="0" t="s">
        <v>173</v>
      </c>
      <c r="K12" s="5" t="n">
        <v>45917</v>
      </c>
      <c r="L12" s="0" t="n">
        <v>18</v>
      </c>
    </row>
    <row r="13" customFormat="false" ht="15" hidden="false" customHeight="false" outlineLevel="0" collapsed="false">
      <c r="A13" s="0" t="n">
        <v>12</v>
      </c>
      <c r="B13" s="0" t="s">
        <v>169</v>
      </c>
      <c r="C13" s="0" t="s">
        <v>170</v>
      </c>
      <c r="D13" s="0" t="s">
        <v>345</v>
      </c>
      <c r="E13" s="4" t="n">
        <v>2.38819444444444</v>
      </c>
      <c r="F13" s="0" t="n">
        <v>100</v>
      </c>
      <c r="G13" s="0" t="n">
        <v>100</v>
      </c>
      <c r="H13" s="0" t="n">
        <v>6.06</v>
      </c>
      <c r="I13" s="0" t="s">
        <v>117</v>
      </c>
      <c r="J13" s="0" t="s">
        <v>176</v>
      </c>
      <c r="K13" s="5" t="n">
        <v>45925</v>
      </c>
      <c r="L13" s="0" t="n">
        <v>9</v>
      </c>
    </row>
    <row r="14" customFormat="false" ht="15" hidden="false" customHeight="false" outlineLevel="0" collapsed="false">
      <c r="A14" s="0" t="n">
        <v>13</v>
      </c>
      <c r="B14" s="0" t="s">
        <v>219</v>
      </c>
      <c r="C14" s="0" t="s">
        <v>346</v>
      </c>
      <c r="D14" s="0" t="s">
        <v>347</v>
      </c>
      <c r="E14" s="6" t="n">
        <v>0.0532060185185185</v>
      </c>
      <c r="F14" s="0" t="n">
        <v>100</v>
      </c>
      <c r="G14" s="0" t="n">
        <v>100</v>
      </c>
      <c r="H14" s="0" t="n">
        <v>9.57</v>
      </c>
      <c r="I14" s="0" t="s">
        <v>121</v>
      </c>
      <c r="J14" s="0" t="s">
        <v>152</v>
      </c>
      <c r="K14" s="5" t="n">
        <v>45881</v>
      </c>
      <c r="L14" s="0" t="n">
        <v>6</v>
      </c>
    </row>
    <row r="15" customFormat="false" ht="15" hidden="false" customHeight="false" outlineLevel="0" collapsed="false">
      <c r="A15" s="0" t="n">
        <v>14</v>
      </c>
      <c r="B15" s="0" t="s">
        <v>71</v>
      </c>
      <c r="C15" s="0" t="s">
        <v>72</v>
      </c>
      <c r="D15" s="0" t="s">
        <v>348</v>
      </c>
      <c r="E15" s="6" t="n">
        <v>0.0572800925925926</v>
      </c>
      <c r="F15" s="0" t="n">
        <v>130</v>
      </c>
      <c r="G15" s="0" t="n">
        <v>100</v>
      </c>
      <c r="H15" s="0" t="n">
        <v>10.76</v>
      </c>
      <c r="I15" s="0" t="s">
        <v>133</v>
      </c>
      <c r="J15" s="0" t="s">
        <v>75</v>
      </c>
      <c r="K15" s="5" t="n">
        <v>45921</v>
      </c>
      <c r="L15" s="0" t="n">
        <v>5</v>
      </c>
    </row>
    <row r="16" customFormat="false" ht="15" hidden="false" customHeight="false" outlineLevel="0" collapsed="false">
      <c r="A16" s="0" t="n">
        <v>15</v>
      </c>
      <c r="B16" s="0" t="s">
        <v>103</v>
      </c>
      <c r="C16" s="0" t="s">
        <v>104</v>
      </c>
      <c r="D16" s="0" t="s">
        <v>349</v>
      </c>
      <c r="E16" s="6" t="n">
        <v>0.0595833333333333</v>
      </c>
      <c r="F16" s="0" t="n">
        <v>140</v>
      </c>
      <c r="G16" s="0" t="n">
        <v>80</v>
      </c>
      <c r="H16" s="0" t="n">
        <v>11.62</v>
      </c>
      <c r="I16" s="0" t="s">
        <v>138</v>
      </c>
      <c r="J16" s="0" t="s">
        <v>222</v>
      </c>
      <c r="K16" s="5" t="n">
        <v>45920</v>
      </c>
      <c r="L16" s="0" t="n">
        <v>21</v>
      </c>
    </row>
    <row r="17" customFormat="false" ht="15" hidden="false" customHeight="false" outlineLevel="0" collapsed="false">
      <c r="A17" s="0" t="n">
        <v>16</v>
      </c>
      <c r="B17" s="0" t="s">
        <v>190</v>
      </c>
      <c r="C17" s="0" t="s">
        <v>191</v>
      </c>
      <c r="D17" s="0" t="s">
        <v>350</v>
      </c>
      <c r="E17" s="6" t="n">
        <v>0.043275462962963</v>
      </c>
      <c r="F17" s="0" t="n">
        <v>60</v>
      </c>
      <c r="G17" s="0" t="n">
        <v>60</v>
      </c>
      <c r="H17" s="0" t="n">
        <v>7.78</v>
      </c>
      <c r="I17" s="0" t="s">
        <v>140</v>
      </c>
      <c r="J17" s="0" t="s">
        <v>193</v>
      </c>
      <c r="K17" s="5" t="n">
        <v>45887</v>
      </c>
      <c r="L17" s="0" t="n">
        <v>16</v>
      </c>
    </row>
    <row r="18" customFormat="false" ht="15" hidden="false" customHeight="false" outlineLevel="0" collapsed="false">
      <c r="A18" s="0" t="n">
        <v>17</v>
      </c>
      <c r="B18" s="0" t="s">
        <v>194</v>
      </c>
      <c r="C18" s="0" t="s">
        <v>119</v>
      </c>
      <c r="D18" s="0" t="s">
        <v>350</v>
      </c>
      <c r="E18" s="6" t="n">
        <v>0.043287037037037</v>
      </c>
      <c r="F18" s="0" t="n">
        <v>60</v>
      </c>
      <c r="G18" s="0" t="n">
        <v>60</v>
      </c>
      <c r="H18" s="0" t="n">
        <v>7.45</v>
      </c>
      <c r="I18" s="0" t="s">
        <v>142</v>
      </c>
      <c r="J18" s="0" t="s">
        <v>196</v>
      </c>
      <c r="K18" s="5" t="n">
        <v>45887</v>
      </c>
      <c r="L18" s="0" t="n">
        <v>14</v>
      </c>
    </row>
    <row r="19" customFormat="false" ht="15" hidden="false" customHeight="false" outlineLevel="0" collapsed="false">
      <c r="A19" s="0" t="n">
        <v>18</v>
      </c>
      <c r="B19" s="0" t="s">
        <v>99</v>
      </c>
      <c r="C19" s="0" t="s">
        <v>100</v>
      </c>
      <c r="D19" s="0" t="s">
        <v>351</v>
      </c>
      <c r="E19" s="4" t="n">
        <v>1.96111111111111</v>
      </c>
      <c r="F19" s="0" t="n">
        <v>30</v>
      </c>
      <c r="G19" s="0" t="n">
        <v>30</v>
      </c>
      <c r="H19" s="0" t="n">
        <v>3.65</v>
      </c>
      <c r="I19" s="0" t="s">
        <v>180</v>
      </c>
      <c r="J19" s="0" t="s">
        <v>189</v>
      </c>
      <c r="K19" s="5" t="n">
        <v>45919</v>
      </c>
      <c r="L19" s="0" t="n">
        <v>2</v>
      </c>
    </row>
    <row r="20" customFormat="false" ht="15" hidden="false" customHeight="false" outlineLevel="0" collapsed="false">
      <c r="A20" s="0" t="n">
        <v>19</v>
      </c>
      <c r="B20" s="0" t="s">
        <v>127</v>
      </c>
      <c r="C20" s="0" t="s">
        <v>128</v>
      </c>
      <c r="D20" s="0" t="s">
        <v>352</v>
      </c>
      <c r="E20" s="6" t="n">
        <v>0.0552777777777778</v>
      </c>
      <c r="F20" s="0" t="n">
        <v>30</v>
      </c>
      <c r="G20" s="0" t="n">
        <v>30</v>
      </c>
      <c r="H20" s="0" t="n">
        <v>6.48</v>
      </c>
      <c r="I20" s="0" t="s">
        <v>188</v>
      </c>
      <c r="J20" s="0" t="s">
        <v>214</v>
      </c>
      <c r="K20" s="5" t="n">
        <v>45912</v>
      </c>
      <c r="L20" s="0" t="n">
        <v>4</v>
      </c>
    </row>
    <row r="21" customFormat="false" ht="15" hidden="false" customHeight="false" outlineLevel="0" collapsed="false">
      <c r="A21" s="0" t="n">
        <v>20</v>
      </c>
      <c r="B21" s="0" t="s">
        <v>103</v>
      </c>
      <c r="C21" s="0" t="s">
        <v>104</v>
      </c>
      <c r="D21" s="0" t="s">
        <v>344</v>
      </c>
      <c r="E21" s="6" t="n">
        <v>0.0871759259259259</v>
      </c>
      <c r="F21" s="0" t="n">
        <v>120</v>
      </c>
      <c r="G21" s="0" t="n">
        <v>-340</v>
      </c>
      <c r="H21" s="0" t="n">
        <v>13.32</v>
      </c>
      <c r="I21" s="0" t="s">
        <v>144</v>
      </c>
      <c r="J21" s="0" t="s">
        <v>287</v>
      </c>
      <c r="K21" s="5" t="n">
        <v>45906</v>
      </c>
      <c r="L21" s="0" t="n">
        <v>3</v>
      </c>
    </row>
    <row r="22" customFormat="false" ht="15" hidden="false" customHeight="false" outlineLevel="0" collapsed="false">
      <c r="A22" s="0" t="n">
        <v>21</v>
      </c>
      <c r="B22" s="0" t="s">
        <v>123</v>
      </c>
      <c r="C22" s="0" t="s">
        <v>124</v>
      </c>
      <c r="D22" s="0" t="s">
        <v>353</v>
      </c>
      <c r="E22" s="6" t="n">
        <v>0.089224537037037</v>
      </c>
      <c r="F22" s="0" t="n">
        <v>110</v>
      </c>
      <c r="G22" s="0" t="n">
        <v>-380</v>
      </c>
      <c r="H22" s="0" t="n">
        <v>10.09</v>
      </c>
      <c r="I22" s="0" t="s">
        <v>211</v>
      </c>
      <c r="J22" s="0" t="s">
        <v>181</v>
      </c>
      <c r="K22" s="5" t="n">
        <v>45896</v>
      </c>
      <c r="L22" s="0" t="n">
        <v>24</v>
      </c>
    </row>
    <row r="23" customFormat="false" ht="15" hidden="false" customHeight="false" outlineLevel="0" collapsed="false">
      <c r="A23" s="0" t="n">
        <v>22</v>
      </c>
      <c r="B23" s="0" t="s">
        <v>127</v>
      </c>
      <c r="C23" s="0" t="s">
        <v>128</v>
      </c>
      <c r="D23" s="0" t="s">
        <v>353</v>
      </c>
      <c r="E23" s="6" t="n">
        <v>0.0892476851851852</v>
      </c>
      <c r="F23" s="0" t="n">
        <v>110</v>
      </c>
      <c r="G23" s="0" t="n">
        <v>-380</v>
      </c>
      <c r="H23" s="0" t="n">
        <v>13.18</v>
      </c>
      <c r="I23" s="0" t="s">
        <v>213</v>
      </c>
      <c r="J23" s="0" t="s">
        <v>236</v>
      </c>
      <c r="K23" s="5" t="n">
        <v>45896</v>
      </c>
      <c r="L23" s="0" t="n">
        <v>8</v>
      </c>
    </row>
    <row r="24" customFormat="false" ht="15" hidden="false" customHeight="false" outlineLevel="0" collapsed="false">
      <c r="A24" s="0" t="n">
        <v>23</v>
      </c>
      <c r="B24" s="0" t="s">
        <v>99</v>
      </c>
      <c r="C24" s="0" t="s">
        <v>100</v>
      </c>
      <c r="D24" s="0" t="s">
        <v>354</v>
      </c>
      <c r="E24" s="6" t="n">
        <v>0.0893402777777778</v>
      </c>
      <c r="F24" s="0" t="n">
        <v>100</v>
      </c>
      <c r="G24" s="0" t="n">
        <v>-390</v>
      </c>
      <c r="H24" s="0" t="n">
        <v>9.45</v>
      </c>
      <c r="I24" s="0" t="s">
        <v>215</v>
      </c>
      <c r="J24" s="0" t="s">
        <v>218</v>
      </c>
      <c r="K24" s="5" t="n">
        <v>45896</v>
      </c>
      <c r="L24" s="0" t="n">
        <v>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6"/>
  <sheetViews>
    <sheetView showFormulas="false" showGridLines="true" showRowColHeaders="true" showZeros="true" rightToLeft="false" tabSelected="false" showOutlineSymbols="true" defaultGridColor="true" view="normal" topLeftCell="A29" colorId="64" zoomScale="100" zoomScaleNormal="100" zoomScalePageLayoutView="100" workbookViewId="0">
      <selection pane="topLeft" activeCell="D63" activeCellId="1" sqref="A:A D63"/>
    </sheetView>
  </sheetViews>
  <sheetFormatPr defaultColWidth="8.59765625" defaultRowHeight="15" customHeight="true" zeroHeight="false" outlineLevelRow="0" outlineLevelCol="0"/>
  <cols>
    <col collapsed="false" customWidth="true" hidden="false" outlineLevel="0" max="3" min="3" style="0" width="30.57"/>
    <col collapsed="false" customWidth="true" hidden="false" outlineLevel="0" max="11" min="11" style="0" width="14.86"/>
  </cols>
  <sheetData>
    <row r="1" customFormat="false" ht="15" hidden="false" customHeight="false" outlineLevel="0" collapsed="false">
      <c r="A1" s="0" t="s">
        <v>59</v>
      </c>
      <c r="B1" s="0" t="s">
        <v>60</v>
      </c>
      <c r="C1" s="0" t="s">
        <v>61</v>
      </c>
      <c r="D1" s="0" t="s">
        <v>62</v>
      </c>
      <c r="E1" s="0" t="s">
        <v>63</v>
      </c>
      <c r="F1" s="0" t="s">
        <v>64</v>
      </c>
      <c r="G1" s="0" t="s">
        <v>65</v>
      </c>
      <c r="H1" s="0" t="s">
        <v>66</v>
      </c>
      <c r="I1" s="0" t="s">
        <v>67</v>
      </c>
      <c r="J1" s="0" t="s">
        <v>68</v>
      </c>
      <c r="K1" s="0" t="s">
        <v>69</v>
      </c>
      <c r="L1" s="0" t="s">
        <v>70</v>
      </c>
    </row>
    <row r="2" customFormat="false" ht="15" hidden="false" customHeight="false" outlineLevel="0" collapsed="false">
      <c r="A2" s="0" t="n">
        <v>1</v>
      </c>
      <c r="B2" s="0" t="s">
        <v>85</v>
      </c>
      <c r="C2" s="0" t="s">
        <v>86</v>
      </c>
      <c r="D2" s="0" t="s">
        <v>355</v>
      </c>
      <c r="E2" s="4" t="n">
        <v>1.96875</v>
      </c>
      <c r="F2" s="0" t="n">
        <v>250</v>
      </c>
      <c r="G2" s="0" t="n">
        <v>250</v>
      </c>
      <c r="H2" s="0" t="n">
        <v>10.24</v>
      </c>
      <c r="I2" s="0" t="s">
        <v>74</v>
      </c>
      <c r="J2" s="0" t="s">
        <v>88</v>
      </c>
      <c r="K2" s="5" t="n">
        <v>45916</v>
      </c>
      <c r="L2" s="0" t="n">
        <v>22</v>
      </c>
    </row>
    <row r="3" customFormat="false" ht="15" hidden="false" customHeight="false" outlineLevel="0" collapsed="false">
      <c r="A3" s="0" t="n">
        <v>2</v>
      </c>
      <c r="B3" s="0" t="s">
        <v>85</v>
      </c>
      <c r="C3" s="0" t="s">
        <v>86</v>
      </c>
      <c r="D3" s="0" t="s">
        <v>355</v>
      </c>
      <c r="E3" s="4" t="n">
        <v>2.05625</v>
      </c>
      <c r="F3" s="0" t="n">
        <v>250</v>
      </c>
      <c r="G3" s="0" t="n">
        <v>250</v>
      </c>
      <c r="H3" s="0" t="n">
        <v>10.31</v>
      </c>
      <c r="I3" s="0" t="s">
        <v>83</v>
      </c>
      <c r="J3" s="0" t="s">
        <v>252</v>
      </c>
      <c r="K3" s="5" t="n">
        <v>45902</v>
      </c>
      <c r="L3" s="0" t="n">
        <v>6</v>
      </c>
    </row>
    <row r="4" customFormat="false" ht="15" hidden="false" customHeight="false" outlineLevel="0" collapsed="false">
      <c r="A4" s="0" t="n">
        <v>3</v>
      </c>
      <c r="B4" s="0" t="s">
        <v>85</v>
      </c>
      <c r="C4" s="0" t="s">
        <v>86</v>
      </c>
      <c r="D4" s="0" t="s">
        <v>355</v>
      </c>
      <c r="E4" s="4" t="n">
        <v>2.05625</v>
      </c>
      <c r="F4" s="0" t="n">
        <v>250</v>
      </c>
      <c r="G4" s="0" t="n">
        <v>250</v>
      </c>
      <c r="H4" s="0" t="n">
        <v>10.31</v>
      </c>
      <c r="I4" s="0" t="s">
        <v>87</v>
      </c>
      <c r="J4" s="0" t="s">
        <v>98</v>
      </c>
      <c r="K4" s="5" t="n">
        <v>45902</v>
      </c>
      <c r="L4" s="0" t="n">
        <v>16</v>
      </c>
    </row>
    <row r="5" customFormat="false" ht="15" hidden="false" customHeight="false" outlineLevel="0" collapsed="false">
      <c r="A5" s="0" t="n">
        <v>4</v>
      </c>
      <c r="B5" s="0" t="s">
        <v>71</v>
      </c>
      <c r="C5" s="0" t="s">
        <v>72</v>
      </c>
      <c r="D5" s="0" t="s">
        <v>356</v>
      </c>
      <c r="E5" s="4" t="n">
        <v>2.08125</v>
      </c>
      <c r="F5" s="0" t="n">
        <v>250</v>
      </c>
      <c r="G5" s="0" t="n">
        <v>250</v>
      </c>
      <c r="H5" s="0" t="n">
        <v>10.19</v>
      </c>
      <c r="I5" s="0" t="s">
        <v>92</v>
      </c>
      <c r="J5" s="0" t="s">
        <v>75</v>
      </c>
      <c r="K5" s="5" t="n">
        <v>45920</v>
      </c>
      <c r="L5" s="0" t="n">
        <v>30</v>
      </c>
    </row>
    <row r="6" customFormat="false" ht="15" hidden="false" customHeight="false" outlineLevel="0" collapsed="false">
      <c r="A6" s="0" t="n">
        <v>5</v>
      </c>
      <c r="B6" s="0" t="s">
        <v>89</v>
      </c>
      <c r="C6" s="0" t="s">
        <v>90</v>
      </c>
      <c r="D6" s="0" t="s">
        <v>357</v>
      </c>
      <c r="E6" s="4" t="n">
        <v>1.80902777777778</v>
      </c>
      <c r="F6" s="0" t="n">
        <v>210</v>
      </c>
      <c r="G6" s="0" t="n">
        <v>210</v>
      </c>
      <c r="H6" s="0" t="n">
        <v>9.47</v>
      </c>
      <c r="I6" s="0" t="s">
        <v>95</v>
      </c>
      <c r="J6" s="0" t="s">
        <v>84</v>
      </c>
      <c r="K6" s="5" t="n">
        <v>45890</v>
      </c>
      <c r="L6" s="0" t="n">
        <v>19</v>
      </c>
    </row>
    <row r="7" customFormat="false" ht="15" hidden="false" customHeight="false" outlineLevel="0" collapsed="false">
      <c r="A7" s="0" t="n">
        <v>6</v>
      </c>
      <c r="B7" s="0" t="s">
        <v>103</v>
      </c>
      <c r="C7" s="0" t="s">
        <v>104</v>
      </c>
      <c r="D7" s="0" t="s">
        <v>357</v>
      </c>
      <c r="E7" s="4" t="n">
        <v>1.95833333333333</v>
      </c>
      <c r="F7" s="0" t="n">
        <v>210</v>
      </c>
      <c r="G7" s="0" t="n">
        <v>210</v>
      </c>
      <c r="H7" s="0" t="n">
        <v>9.02</v>
      </c>
      <c r="I7" s="0" t="s">
        <v>97</v>
      </c>
      <c r="J7" s="0" t="s">
        <v>106</v>
      </c>
      <c r="K7" s="5" t="n">
        <v>45904</v>
      </c>
      <c r="L7" s="0" t="n">
        <v>7</v>
      </c>
    </row>
    <row r="8" customFormat="false" ht="15" hidden="false" customHeight="false" outlineLevel="0" collapsed="false">
      <c r="A8" s="0" t="n">
        <v>7</v>
      </c>
      <c r="B8" s="0" t="s">
        <v>103</v>
      </c>
      <c r="C8" s="0" t="s">
        <v>104</v>
      </c>
      <c r="D8" s="0" t="s">
        <v>357</v>
      </c>
      <c r="E8" s="4" t="n">
        <v>1.96875</v>
      </c>
      <c r="F8" s="0" t="n">
        <v>210</v>
      </c>
      <c r="G8" s="0" t="n">
        <v>210</v>
      </c>
      <c r="H8" s="0" t="n">
        <v>9.09</v>
      </c>
      <c r="I8" s="0" t="s">
        <v>105</v>
      </c>
      <c r="J8" s="0" t="s">
        <v>145</v>
      </c>
      <c r="K8" s="5" t="n">
        <v>45913</v>
      </c>
      <c r="L8" s="0" t="n">
        <v>21</v>
      </c>
    </row>
    <row r="9" customFormat="false" ht="15" hidden="false" customHeight="false" outlineLevel="0" collapsed="false">
      <c r="A9" s="0" t="n">
        <v>8</v>
      </c>
      <c r="B9" s="0" t="s">
        <v>119</v>
      </c>
      <c r="C9" s="0" t="s">
        <v>120</v>
      </c>
      <c r="D9" s="0" t="s">
        <v>358</v>
      </c>
      <c r="E9" s="4" t="n">
        <v>2.00416666666667</v>
      </c>
      <c r="F9" s="0" t="n">
        <v>210</v>
      </c>
      <c r="G9" s="0" t="n">
        <v>210</v>
      </c>
      <c r="H9" s="0" t="n">
        <v>8.85</v>
      </c>
      <c r="I9" s="0" t="s">
        <v>110</v>
      </c>
      <c r="J9" s="0" t="s">
        <v>122</v>
      </c>
      <c r="K9" s="5" t="n">
        <v>45923</v>
      </c>
      <c r="L9" s="0" t="n">
        <v>39</v>
      </c>
    </row>
    <row r="10" customFormat="false" ht="15" hidden="false" customHeight="false" outlineLevel="0" collapsed="false">
      <c r="A10" s="0" t="n">
        <v>9</v>
      </c>
      <c r="B10" s="0" t="s">
        <v>127</v>
      </c>
      <c r="C10" s="0" t="s">
        <v>128</v>
      </c>
      <c r="D10" s="0" t="s">
        <v>357</v>
      </c>
      <c r="E10" s="4" t="n">
        <v>2.01597222222222</v>
      </c>
      <c r="F10" s="0" t="n">
        <v>210</v>
      </c>
      <c r="G10" s="0" t="n">
        <v>210</v>
      </c>
      <c r="H10" s="0" t="n">
        <v>9.95</v>
      </c>
      <c r="I10" s="0" t="s">
        <v>101</v>
      </c>
      <c r="J10" s="0" t="s">
        <v>130</v>
      </c>
      <c r="K10" s="5" t="n">
        <v>45913</v>
      </c>
      <c r="L10" s="0" t="n">
        <v>17</v>
      </c>
    </row>
    <row r="11" customFormat="false" ht="15" hidden="false" customHeight="false" outlineLevel="0" collapsed="false">
      <c r="A11" s="0" t="n">
        <v>10</v>
      </c>
      <c r="B11" s="0" t="s">
        <v>99</v>
      </c>
      <c r="C11" s="0" t="s">
        <v>100</v>
      </c>
      <c r="D11" s="0" t="s">
        <v>359</v>
      </c>
      <c r="E11" s="4" t="n">
        <v>2.05555555555556</v>
      </c>
      <c r="F11" s="0" t="n">
        <v>210</v>
      </c>
      <c r="G11" s="0" t="n">
        <v>210</v>
      </c>
      <c r="H11" s="0" t="n">
        <v>9.65</v>
      </c>
      <c r="I11" s="0" t="s">
        <v>125</v>
      </c>
      <c r="J11" s="0" t="s">
        <v>102</v>
      </c>
      <c r="K11" s="5" t="n">
        <v>45908</v>
      </c>
      <c r="L11" s="0" t="n">
        <v>38</v>
      </c>
    </row>
    <row r="12" customFormat="false" ht="15" hidden="false" customHeight="false" outlineLevel="0" collapsed="false">
      <c r="A12" s="0" t="n">
        <v>11</v>
      </c>
      <c r="B12" s="0" t="s">
        <v>107</v>
      </c>
      <c r="C12" s="0" t="s">
        <v>108</v>
      </c>
      <c r="D12" s="0" t="s">
        <v>360</v>
      </c>
      <c r="E12" s="4" t="n">
        <v>2.09236111111111</v>
      </c>
      <c r="F12" s="0" t="n">
        <v>210</v>
      </c>
      <c r="G12" s="0" t="n">
        <v>200</v>
      </c>
      <c r="H12" s="0" t="n">
        <v>9.19</v>
      </c>
      <c r="I12" s="0" t="s">
        <v>117</v>
      </c>
      <c r="J12" s="0" t="s">
        <v>93</v>
      </c>
      <c r="K12" s="5" t="n">
        <v>45900</v>
      </c>
      <c r="L12" s="0" t="n">
        <v>23</v>
      </c>
    </row>
    <row r="13" customFormat="false" ht="15" hidden="false" customHeight="false" outlineLevel="0" collapsed="false">
      <c r="A13" s="0" t="n">
        <v>12</v>
      </c>
      <c r="B13" s="0" t="s">
        <v>119</v>
      </c>
      <c r="C13" s="0" t="s">
        <v>120</v>
      </c>
      <c r="D13" s="0" t="s">
        <v>361</v>
      </c>
      <c r="E13" s="4" t="n">
        <v>1.75347222222222</v>
      </c>
      <c r="F13" s="0" t="n">
        <v>180</v>
      </c>
      <c r="G13" s="0" t="n">
        <v>180</v>
      </c>
      <c r="H13" s="0" t="n">
        <v>7.63</v>
      </c>
      <c r="I13" s="0" t="s">
        <v>121</v>
      </c>
      <c r="J13" s="0" t="s">
        <v>152</v>
      </c>
      <c r="K13" s="5" t="n">
        <v>45897</v>
      </c>
      <c r="L13" s="0" t="n">
        <v>43</v>
      </c>
    </row>
    <row r="14" customFormat="false" ht="15" hidden="false" customHeight="false" outlineLevel="0" collapsed="false">
      <c r="A14" s="0" t="n">
        <v>13</v>
      </c>
      <c r="B14" s="0" t="s">
        <v>123</v>
      </c>
      <c r="C14" s="0" t="s">
        <v>124</v>
      </c>
      <c r="D14" s="0" t="s">
        <v>362</v>
      </c>
      <c r="E14" s="4" t="n">
        <v>1.79027777777778</v>
      </c>
      <c r="F14" s="0" t="n">
        <v>180</v>
      </c>
      <c r="G14" s="0" t="n">
        <v>180</v>
      </c>
      <c r="H14" s="0" t="n">
        <v>8.31</v>
      </c>
      <c r="I14" s="0" t="s">
        <v>129</v>
      </c>
      <c r="J14" s="0" t="s">
        <v>126</v>
      </c>
      <c r="K14" s="5" t="n">
        <v>45890</v>
      </c>
      <c r="L14" s="0" t="n">
        <v>28</v>
      </c>
    </row>
    <row r="15" customFormat="false" ht="15" hidden="false" customHeight="false" outlineLevel="0" collapsed="false">
      <c r="A15" s="0" t="n">
        <v>14</v>
      </c>
      <c r="B15" s="0" t="s">
        <v>127</v>
      </c>
      <c r="C15" s="0" t="s">
        <v>128</v>
      </c>
      <c r="D15" s="0" t="s">
        <v>362</v>
      </c>
      <c r="E15" s="4" t="n">
        <v>1.80138888888889</v>
      </c>
      <c r="F15" s="0" t="n">
        <v>180</v>
      </c>
      <c r="G15" s="0" t="n">
        <v>180</v>
      </c>
      <c r="H15" s="0" t="n">
        <v>9.44</v>
      </c>
      <c r="I15" s="0" t="s">
        <v>180</v>
      </c>
      <c r="J15" s="0" t="s">
        <v>214</v>
      </c>
      <c r="K15" s="5" t="n">
        <v>45890</v>
      </c>
      <c r="L15" s="0" t="n">
        <v>36</v>
      </c>
    </row>
    <row r="16" customFormat="false" ht="15" hidden="false" customHeight="false" outlineLevel="0" collapsed="false">
      <c r="A16" s="0" t="n">
        <v>15</v>
      </c>
      <c r="B16" s="0" t="s">
        <v>131</v>
      </c>
      <c r="C16" s="0" t="s">
        <v>72</v>
      </c>
      <c r="D16" s="0" t="s">
        <v>363</v>
      </c>
      <c r="E16" s="4" t="n">
        <v>1.97291666666667</v>
      </c>
      <c r="F16" s="0" t="n">
        <v>180</v>
      </c>
      <c r="G16" s="0" t="n">
        <v>180</v>
      </c>
      <c r="H16" s="0" t="n">
        <v>8.21</v>
      </c>
      <c r="I16" s="0" t="s">
        <v>133</v>
      </c>
      <c r="J16" s="0" t="s">
        <v>111</v>
      </c>
      <c r="K16" s="5" t="n">
        <v>45922</v>
      </c>
      <c r="L16" s="0" t="n">
        <v>20</v>
      </c>
    </row>
    <row r="17" customFormat="false" ht="15" hidden="false" customHeight="false" outlineLevel="0" collapsed="false">
      <c r="A17" s="0" t="n">
        <v>16</v>
      </c>
      <c r="B17" s="0" t="s">
        <v>107</v>
      </c>
      <c r="C17" s="0" t="s">
        <v>108</v>
      </c>
      <c r="D17" s="0" t="s">
        <v>364</v>
      </c>
      <c r="E17" s="4" t="n">
        <v>2.03402777777778</v>
      </c>
      <c r="F17" s="0" t="n">
        <v>180</v>
      </c>
      <c r="G17" s="0" t="n">
        <v>180</v>
      </c>
      <c r="H17" s="0" t="n">
        <v>8.5</v>
      </c>
      <c r="I17" s="0" t="s">
        <v>138</v>
      </c>
      <c r="J17" s="0" t="s">
        <v>134</v>
      </c>
      <c r="K17" s="5" t="n">
        <v>45891</v>
      </c>
      <c r="L17" s="0" t="n">
        <v>45</v>
      </c>
    </row>
    <row r="18" customFormat="false" ht="15" hidden="false" customHeight="false" outlineLevel="0" collapsed="false">
      <c r="A18" s="0" t="n">
        <v>17</v>
      </c>
      <c r="B18" s="0" t="s">
        <v>89</v>
      </c>
      <c r="C18" s="0" t="s">
        <v>90</v>
      </c>
      <c r="D18" s="0" t="s">
        <v>365</v>
      </c>
      <c r="E18" s="4" t="n">
        <v>2.04583333333333</v>
      </c>
      <c r="F18" s="0" t="n">
        <v>180</v>
      </c>
      <c r="G18" s="0" t="n">
        <v>180</v>
      </c>
      <c r="H18" s="0" t="n">
        <v>8.46</v>
      </c>
      <c r="I18" s="0" t="s">
        <v>140</v>
      </c>
      <c r="J18" s="0" t="s">
        <v>141</v>
      </c>
      <c r="K18" s="5" t="n">
        <v>45885</v>
      </c>
      <c r="L18" s="0" t="n">
        <v>31</v>
      </c>
    </row>
    <row r="19" customFormat="false" ht="15" hidden="false" customHeight="false" outlineLevel="0" collapsed="false">
      <c r="A19" s="0" t="n">
        <v>18</v>
      </c>
      <c r="B19" s="0" t="s">
        <v>135</v>
      </c>
      <c r="C19" s="0" t="s">
        <v>136</v>
      </c>
      <c r="D19" s="0" t="s">
        <v>366</v>
      </c>
      <c r="E19" s="4" t="n">
        <v>2.04861111111111</v>
      </c>
      <c r="F19" s="0" t="n">
        <v>180</v>
      </c>
      <c r="G19" s="0" t="n">
        <v>180</v>
      </c>
      <c r="H19" s="0" t="n">
        <v>7.38</v>
      </c>
      <c r="I19" s="0" t="s">
        <v>142</v>
      </c>
      <c r="J19" s="0" t="s">
        <v>139</v>
      </c>
      <c r="K19" s="5" t="n">
        <v>45901</v>
      </c>
      <c r="L19" s="0" t="n">
        <v>18</v>
      </c>
    </row>
    <row r="20" customFormat="false" ht="15" hidden="false" customHeight="false" outlineLevel="0" collapsed="false">
      <c r="A20" s="0" t="n">
        <v>19</v>
      </c>
      <c r="B20" s="0" t="s">
        <v>146</v>
      </c>
      <c r="C20" s="0" t="s">
        <v>147</v>
      </c>
      <c r="D20" s="0" t="s">
        <v>363</v>
      </c>
      <c r="E20" s="4" t="n">
        <v>2.07152777777778</v>
      </c>
      <c r="F20" s="0" t="n">
        <v>180</v>
      </c>
      <c r="G20" s="0" t="n">
        <v>180</v>
      </c>
      <c r="H20" s="0" t="n">
        <v>8.86</v>
      </c>
      <c r="I20" s="0" t="s">
        <v>144</v>
      </c>
      <c r="J20" s="0" t="s">
        <v>118</v>
      </c>
      <c r="K20" s="5" t="n">
        <v>45895</v>
      </c>
      <c r="L20" s="0" t="n">
        <v>41</v>
      </c>
    </row>
    <row r="21" customFormat="false" ht="15" hidden="false" customHeight="false" outlineLevel="0" collapsed="false">
      <c r="A21" s="0" t="n">
        <v>20</v>
      </c>
      <c r="B21" s="0" t="s">
        <v>119</v>
      </c>
      <c r="C21" s="0" t="s">
        <v>120</v>
      </c>
      <c r="D21" s="0" t="s">
        <v>367</v>
      </c>
      <c r="E21" s="4" t="n">
        <v>2.03055555555556</v>
      </c>
      <c r="F21" s="0" t="n">
        <v>170</v>
      </c>
      <c r="G21" s="0" t="n">
        <v>170</v>
      </c>
      <c r="H21" s="0" t="n">
        <v>8.35</v>
      </c>
      <c r="I21" s="0" t="s">
        <v>149</v>
      </c>
      <c r="J21" s="0" t="s">
        <v>196</v>
      </c>
      <c r="K21" s="5" t="n">
        <v>45895</v>
      </c>
      <c r="L21" s="0" t="n">
        <v>25</v>
      </c>
    </row>
    <row r="22" customFormat="false" ht="15" hidden="false" customHeight="false" outlineLevel="0" collapsed="false">
      <c r="A22" s="0" t="n">
        <v>21</v>
      </c>
      <c r="B22" s="0" t="s">
        <v>368</v>
      </c>
      <c r="C22" s="0" t="s">
        <v>369</v>
      </c>
      <c r="D22" s="0" t="s">
        <v>370</v>
      </c>
      <c r="E22" s="4" t="n">
        <v>1.85625</v>
      </c>
      <c r="F22" s="0" t="n">
        <v>160</v>
      </c>
      <c r="G22" s="0" t="n">
        <v>160</v>
      </c>
      <c r="H22" s="0" t="n">
        <v>7.09</v>
      </c>
      <c r="I22" s="0" t="s">
        <v>151</v>
      </c>
      <c r="J22" s="0" t="s">
        <v>185</v>
      </c>
      <c r="K22" s="5" t="n">
        <v>45903</v>
      </c>
      <c r="L22" s="0" t="n">
        <v>13</v>
      </c>
    </row>
    <row r="23" customFormat="false" ht="15" hidden="false" customHeight="false" outlineLevel="0" collapsed="false">
      <c r="A23" s="0" t="n">
        <v>22</v>
      </c>
      <c r="B23" s="0" t="s">
        <v>135</v>
      </c>
      <c r="C23" s="0" t="s">
        <v>136</v>
      </c>
      <c r="D23" s="0" t="s">
        <v>361</v>
      </c>
      <c r="E23" s="4" t="n">
        <v>2.14583333333333</v>
      </c>
      <c r="F23" s="0" t="n">
        <v>180</v>
      </c>
      <c r="G23" s="0" t="n">
        <v>160</v>
      </c>
      <c r="H23" s="0" t="n">
        <v>7.97</v>
      </c>
      <c r="I23" s="0" t="s">
        <v>154</v>
      </c>
      <c r="J23" s="0" t="s">
        <v>158</v>
      </c>
      <c r="K23" s="5" t="n">
        <v>45891</v>
      </c>
      <c r="L23" s="0" t="n">
        <v>33</v>
      </c>
    </row>
    <row r="24" customFormat="false" ht="15" hidden="false" customHeight="false" outlineLevel="0" collapsed="false">
      <c r="A24" s="0" t="n">
        <v>23</v>
      </c>
      <c r="B24" s="0" t="s">
        <v>119</v>
      </c>
      <c r="C24" s="0" t="s">
        <v>120</v>
      </c>
      <c r="D24" s="0" t="s">
        <v>371</v>
      </c>
      <c r="E24" s="4" t="n">
        <v>2.00972222222222</v>
      </c>
      <c r="F24" s="0" t="n">
        <v>150</v>
      </c>
      <c r="G24" s="0" t="n">
        <v>150</v>
      </c>
      <c r="H24" s="0" t="n">
        <v>7.77</v>
      </c>
      <c r="I24" s="0" t="s">
        <v>157</v>
      </c>
      <c r="J24" s="0" t="s">
        <v>203</v>
      </c>
      <c r="K24" s="5" t="n">
        <v>45883</v>
      </c>
      <c r="L24" s="0" t="n">
        <v>27</v>
      </c>
    </row>
    <row r="25" customFormat="false" ht="15" hidden="false" customHeight="false" outlineLevel="0" collapsed="false">
      <c r="A25" s="0" t="n">
        <v>24</v>
      </c>
      <c r="B25" s="0" t="s">
        <v>372</v>
      </c>
      <c r="C25" s="0" t="s">
        <v>373</v>
      </c>
      <c r="D25" s="0" t="s">
        <v>374</v>
      </c>
      <c r="E25" s="4" t="n">
        <v>2.00694444444444</v>
      </c>
      <c r="F25" s="0" t="n">
        <v>140</v>
      </c>
      <c r="G25" s="0" t="n">
        <v>140</v>
      </c>
      <c r="H25" s="0" t="n">
        <v>7.54</v>
      </c>
      <c r="I25" s="0" t="s">
        <v>188</v>
      </c>
      <c r="J25" s="0" t="s">
        <v>375</v>
      </c>
      <c r="K25" s="5" t="n">
        <v>45880</v>
      </c>
      <c r="L25" s="0" t="n">
        <v>10</v>
      </c>
    </row>
    <row r="26" customFormat="false" ht="15" hidden="false" customHeight="false" outlineLevel="0" collapsed="false">
      <c r="A26" s="0" t="n">
        <v>25</v>
      </c>
      <c r="B26" s="0" t="s">
        <v>190</v>
      </c>
      <c r="C26" s="0" t="s">
        <v>191</v>
      </c>
      <c r="D26" s="0" t="s">
        <v>374</v>
      </c>
      <c r="E26" s="4" t="n">
        <v>2.01041666666667</v>
      </c>
      <c r="F26" s="0" t="n">
        <v>140</v>
      </c>
      <c r="G26" s="0" t="n">
        <v>140</v>
      </c>
      <c r="H26" s="0" t="n">
        <v>7.13</v>
      </c>
      <c r="I26" s="0" t="s">
        <v>160</v>
      </c>
      <c r="J26" s="0" t="s">
        <v>173</v>
      </c>
      <c r="K26" s="5" t="n">
        <v>45880</v>
      </c>
      <c r="L26" s="0" t="n">
        <v>29</v>
      </c>
    </row>
    <row r="27" customFormat="false" ht="15" hidden="false" customHeight="false" outlineLevel="0" collapsed="false">
      <c r="A27" s="0" t="n">
        <v>26</v>
      </c>
      <c r="B27" s="0" t="s">
        <v>119</v>
      </c>
      <c r="C27" s="0" t="s">
        <v>120</v>
      </c>
      <c r="D27" s="0" t="s">
        <v>376</v>
      </c>
      <c r="E27" s="4" t="n">
        <v>2.00972222222222</v>
      </c>
      <c r="F27" s="0" t="n">
        <v>130</v>
      </c>
      <c r="G27" s="0" t="n">
        <v>130</v>
      </c>
      <c r="H27" s="0" t="n">
        <v>7.77</v>
      </c>
      <c r="I27" s="0" t="s">
        <v>164</v>
      </c>
      <c r="J27" s="0" t="s">
        <v>229</v>
      </c>
      <c r="K27" s="5" t="n">
        <v>45883</v>
      </c>
      <c r="L27" s="0" t="n">
        <v>26</v>
      </c>
    </row>
    <row r="28" customFormat="false" ht="15" hidden="false" customHeight="false" outlineLevel="0" collapsed="false">
      <c r="A28" s="0" t="n">
        <v>27</v>
      </c>
      <c r="B28" s="0" t="s">
        <v>190</v>
      </c>
      <c r="C28" s="0" t="s">
        <v>191</v>
      </c>
      <c r="D28" s="0" t="s">
        <v>377</v>
      </c>
      <c r="E28" s="4" t="n">
        <v>1.85694444444444</v>
      </c>
      <c r="F28" s="0" t="n">
        <v>120</v>
      </c>
      <c r="G28" s="0" t="n">
        <v>120</v>
      </c>
      <c r="H28" s="0" t="n">
        <v>6.6</v>
      </c>
      <c r="I28" s="0" t="s">
        <v>167</v>
      </c>
      <c r="J28" s="0" t="s">
        <v>176</v>
      </c>
      <c r="K28" s="5" t="n">
        <v>45882</v>
      </c>
      <c r="L28" s="0" t="n">
        <v>11</v>
      </c>
    </row>
    <row r="29" customFormat="false" ht="15" hidden="false" customHeight="false" outlineLevel="0" collapsed="false">
      <c r="A29" s="0" t="n">
        <v>28</v>
      </c>
      <c r="B29" s="0" t="s">
        <v>190</v>
      </c>
      <c r="C29" s="0" t="s">
        <v>191</v>
      </c>
      <c r="D29" s="0" t="s">
        <v>377</v>
      </c>
      <c r="E29" s="4" t="n">
        <v>1.87916666666667</v>
      </c>
      <c r="F29" s="0" t="n">
        <v>120</v>
      </c>
      <c r="G29" s="0" t="n">
        <v>120</v>
      </c>
      <c r="H29" s="0" t="n">
        <v>6.34</v>
      </c>
      <c r="I29" s="0" t="s">
        <v>172</v>
      </c>
      <c r="J29" s="0" t="s">
        <v>193</v>
      </c>
      <c r="K29" s="5" t="n">
        <v>45902</v>
      </c>
      <c r="L29" s="0" t="n">
        <v>2</v>
      </c>
    </row>
    <row r="30" customFormat="false" ht="15" hidden="false" customHeight="false" outlineLevel="0" collapsed="false">
      <c r="A30" s="0" t="n">
        <v>29</v>
      </c>
      <c r="B30" s="0" t="s">
        <v>378</v>
      </c>
      <c r="C30" s="0" t="s">
        <v>379</v>
      </c>
      <c r="D30" s="0" t="s">
        <v>377</v>
      </c>
      <c r="E30" s="4" t="n">
        <v>1.88333333333333</v>
      </c>
      <c r="F30" s="0" t="n">
        <v>120</v>
      </c>
      <c r="G30" s="0" t="n">
        <v>120</v>
      </c>
      <c r="H30" s="0" t="n">
        <v>7.2</v>
      </c>
      <c r="I30" s="0" t="s">
        <v>211</v>
      </c>
      <c r="J30" s="0" t="s">
        <v>181</v>
      </c>
      <c r="K30" s="5" t="n">
        <v>45882</v>
      </c>
      <c r="L30" s="0" t="n">
        <v>24</v>
      </c>
    </row>
    <row r="31" customFormat="false" ht="15" hidden="false" customHeight="false" outlineLevel="0" collapsed="false">
      <c r="A31" s="0" t="n">
        <v>30</v>
      </c>
      <c r="B31" s="0" t="s">
        <v>194</v>
      </c>
      <c r="C31" s="0" t="s">
        <v>119</v>
      </c>
      <c r="D31" s="0" t="s">
        <v>377</v>
      </c>
      <c r="E31" s="4" t="n">
        <v>1.90486111111111</v>
      </c>
      <c r="F31" s="0" t="n">
        <v>120</v>
      </c>
      <c r="G31" s="0" t="n">
        <v>120</v>
      </c>
      <c r="H31" s="0" t="n">
        <v>6.42</v>
      </c>
      <c r="I31" s="0" t="s">
        <v>175</v>
      </c>
      <c r="J31" s="0" t="s">
        <v>380</v>
      </c>
      <c r="K31" s="5" t="n">
        <v>45902</v>
      </c>
      <c r="L31" s="0" t="n">
        <v>5</v>
      </c>
    </row>
    <row r="32" customFormat="false" ht="15" hidden="false" customHeight="false" outlineLevel="0" collapsed="false">
      <c r="A32" s="0" t="n">
        <v>31</v>
      </c>
      <c r="B32" s="0" t="s">
        <v>190</v>
      </c>
      <c r="C32" s="0" t="s">
        <v>191</v>
      </c>
      <c r="D32" s="0" t="s">
        <v>377</v>
      </c>
      <c r="E32" s="4" t="n">
        <v>1.99027777777778</v>
      </c>
      <c r="F32" s="0" t="n">
        <v>120</v>
      </c>
      <c r="G32" s="0" t="n">
        <v>120</v>
      </c>
      <c r="H32" s="0" t="n">
        <v>6.6</v>
      </c>
      <c r="I32" s="0" t="s">
        <v>184</v>
      </c>
      <c r="J32" s="0" t="s">
        <v>206</v>
      </c>
      <c r="K32" s="5" t="n">
        <v>45876</v>
      </c>
      <c r="L32" s="0" t="n">
        <v>46</v>
      </c>
    </row>
    <row r="33" customFormat="false" ht="15" hidden="false" customHeight="false" outlineLevel="0" collapsed="false">
      <c r="A33" s="0" t="n">
        <v>32</v>
      </c>
      <c r="B33" s="0" t="s">
        <v>372</v>
      </c>
      <c r="C33" s="0" t="s">
        <v>373</v>
      </c>
      <c r="D33" s="0" t="s">
        <v>377</v>
      </c>
      <c r="E33" s="4" t="n">
        <v>2.00902777777778</v>
      </c>
      <c r="F33" s="0" t="n">
        <v>120</v>
      </c>
      <c r="G33" s="0" t="n">
        <v>120</v>
      </c>
      <c r="H33" s="0" t="n">
        <v>7.13</v>
      </c>
      <c r="I33" s="0" t="s">
        <v>213</v>
      </c>
      <c r="J33" s="0" t="s">
        <v>381</v>
      </c>
      <c r="K33" s="5" t="n">
        <v>45876</v>
      </c>
      <c r="L33" s="0" t="n">
        <v>44</v>
      </c>
    </row>
    <row r="34" customFormat="false" ht="15" hidden="false" customHeight="false" outlineLevel="0" collapsed="false">
      <c r="A34" s="0" t="n">
        <v>33</v>
      </c>
      <c r="B34" s="0" t="s">
        <v>169</v>
      </c>
      <c r="C34" s="0" t="s">
        <v>170</v>
      </c>
      <c r="D34" s="0" t="s">
        <v>382</v>
      </c>
      <c r="E34" s="4" t="n">
        <v>1.90486111111111</v>
      </c>
      <c r="F34" s="0" t="n">
        <v>110</v>
      </c>
      <c r="G34" s="0" t="n">
        <v>110</v>
      </c>
      <c r="H34" s="0" t="n">
        <v>6.55</v>
      </c>
      <c r="I34" s="0" t="s">
        <v>192</v>
      </c>
      <c r="J34" s="0" t="s">
        <v>209</v>
      </c>
      <c r="K34" s="5" t="n">
        <v>45904</v>
      </c>
      <c r="L34" s="0" t="n">
        <v>4</v>
      </c>
    </row>
    <row r="35" customFormat="false" ht="15" hidden="false" customHeight="false" outlineLevel="0" collapsed="false">
      <c r="A35" s="0" t="n">
        <v>34</v>
      </c>
      <c r="B35" s="0" t="s">
        <v>383</v>
      </c>
      <c r="C35" s="0" t="s">
        <v>384</v>
      </c>
      <c r="D35" s="0" t="s">
        <v>385</v>
      </c>
      <c r="E35" s="4" t="n">
        <v>1.90972222222222</v>
      </c>
      <c r="F35" s="0" t="n">
        <v>90</v>
      </c>
      <c r="G35" s="0" t="n">
        <v>90</v>
      </c>
      <c r="H35" s="0" t="n">
        <v>6.66</v>
      </c>
      <c r="I35" s="0" t="s">
        <v>215</v>
      </c>
      <c r="J35" s="0" t="s">
        <v>386</v>
      </c>
      <c r="K35" s="5" t="n">
        <v>45882</v>
      </c>
      <c r="L35" s="0" t="n">
        <v>42</v>
      </c>
    </row>
    <row r="36" customFormat="false" ht="15" hidden="false" customHeight="false" outlineLevel="0" collapsed="false">
      <c r="A36" s="0" t="n">
        <v>35</v>
      </c>
      <c r="B36" s="0" t="s">
        <v>190</v>
      </c>
      <c r="C36" s="0" t="s">
        <v>191</v>
      </c>
      <c r="D36" s="0" t="s">
        <v>387</v>
      </c>
      <c r="E36" s="4" t="n">
        <v>1.87916666666667</v>
      </c>
      <c r="F36" s="0" t="n">
        <v>80</v>
      </c>
      <c r="G36" s="0" t="n">
        <v>80</v>
      </c>
      <c r="H36" s="0" t="n">
        <v>6.34</v>
      </c>
      <c r="I36" s="0" t="s">
        <v>195</v>
      </c>
      <c r="J36" s="0" t="s">
        <v>227</v>
      </c>
      <c r="K36" s="5" t="n">
        <v>45902</v>
      </c>
      <c r="L36" s="0" t="n">
        <v>15</v>
      </c>
    </row>
    <row r="37" customFormat="false" ht="15" hidden="false" customHeight="false" outlineLevel="0" collapsed="false">
      <c r="A37" s="0" t="n">
        <v>36</v>
      </c>
      <c r="B37" s="0" t="s">
        <v>99</v>
      </c>
      <c r="C37" s="0" t="s">
        <v>100</v>
      </c>
      <c r="D37" s="0" t="s">
        <v>388</v>
      </c>
      <c r="E37" s="6" t="n">
        <v>0.0436689814814815</v>
      </c>
      <c r="F37" s="0" t="n">
        <v>200</v>
      </c>
      <c r="G37" s="0" t="n">
        <v>70</v>
      </c>
      <c r="H37" s="0" t="n">
        <v>9.29</v>
      </c>
      <c r="I37" s="0" t="s">
        <v>217</v>
      </c>
      <c r="J37" s="0" t="s">
        <v>189</v>
      </c>
      <c r="K37" s="5" t="n">
        <v>45897</v>
      </c>
      <c r="L37" s="0" t="n">
        <v>37</v>
      </c>
    </row>
    <row r="38" customFormat="false" ht="15" hidden="false" customHeight="false" outlineLevel="0" collapsed="false">
      <c r="A38" s="0" t="n">
        <v>37</v>
      </c>
      <c r="B38" s="0" t="s">
        <v>123</v>
      </c>
      <c r="C38" s="0" t="s">
        <v>124</v>
      </c>
      <c r="D38" s="0" t="s">
        <v>389</v>
      </c>
      <c r="E38" s="4" t="n">
        <v>2.40694444444444</v>
      </c>
      <c r="F38" s="0" t="n">
        <v>140</v>
      </c>
      <c r="G38" s="0" t="n">
        <v>60</v>
      </c>
      <c r="H38" s="0" t="n">
        <v>8.92</v>
      </c>
      <c r="I38" s="0" t="s">
        <v>235</v>
      </c>
      <c r="J38" s="0" t="s">
        <v>212</v>
      </c>
      <c r="K38" s="5" t="n">
        <v>45880</v>
      </c>
      <c r="L38" s="0" t="n">
        <v>3</v>
      </c>
    </row>
    <row r="39" customFormat="false" ht="15" hidden="false" customHeight="false" outlineLevel="0" collapsed="false">
      <c r="A39" s="0" t="n">
        <v>38</v>
      </c>
      <c r="B39" s="0" t="s">
        <v>103</v>
      </c>
      <c r="C39" s="0" t="s">
        <v>104</v>
      </c>
      <c r="D39" s="0" t="s">
        <v>388</v>
      </c>
      <c r="E39" s="6" t="n">
        <v>0.0437847222222222</v>
      </c>
      <c r="F39" s="0" t="n">
        <v>200</v>
      </c>
      <c r="G39" s="0" t="n">
        <v>60</v>
      </c>
      <c r="H39" s="0" t="n">
        <v>9.37</v>
      </c>
      <c r="I39" s="0" t="s">
        <v>199</v>
      </c>
      <c r="J39" s="0" t="s">
        <v>222</v>
      </c>
      <c r="K39" s="5" t="n">
        <v>45897</v>
      </c>
      <c r="L39" s="0" t="n">
        <v>8</v>
      </c>
    </row>
    <row r="40" customFormat="false" ht="15" hidden="false" customHeight="false" outlineLevel="0" collapsed="false">
      <c r="A40" s="0" t="n">
        <v>39</v>
      </c>
      <c r="B40" s="0" t="s">
        <v>197</v>
      </c>
      <c r="C40" s="0" t="s">
        <v>198</v>
      </c>
      <c r="D40" s="0" t="s">
        <v>390</v>
      </c>
      <c r="E40" s="4" t="n">
        <v>2.15069444444444</v>
      </c>
      <c r="F40" s="0" t="n">
        <v>70</v>
      </c>
      <c r="G40" s="0" t="n">
        <v>50</v>
      </c>
      <c r="H40" s="0" t="n">
        <v>5.56</v>
      </c>
      <c r="I40" s="0" t="s">
        <v>202</v>
      </c>
      <c r="J40" s="0" t="s">
        <v>200</v>
      </c>
      <c r="K40" s="5" t="n">
        <v>45883</v>
      </c>
      <c r="L40" s="0" t="n">
        <v>12</v>
      </c>
    </row>
    <row r="41" customFormat="false" ht="15" hidden="false" customHeight="false" outlineLevel="0" collapsed="false">
      <c r="A41" s="0" t="n">
        <v>40</v>
      </c>
      <c r="B41" s="0" t="s">
        <v>127</v>
      </c>
      <c r="C41" s="0" t="s">
        <v>128</v>
      </c>
      <c r="D41" s="0" t="s">
        <v>357</v>
      </c>
      <c r="E41" s="6" t="n">
        <v>0.0537268518518519</v>
      </c>
      <c r="F41" s="0" t="n">
        <v>210</v>
      </c>
      <c r="G41" s="0" t="n">
        <v>-70</v>
      </c>
      <c r="H41" s="0" t="n">
        <v>13.02</v>
      </c>
      <c r="I41" s="0" t="s">
        <v>237</v>
      </c>
      <c r="J41" s="0" t="s">
        <v>236</v>
      </c>
      <c r="K41" s="5" t="n">
        <v>45884</v>
      </c>
      <c r="L41" s="0" t="n">
        <v>40</v>
      </c>
    </row>
    <row r="42" customFormat="false" ht="15" hidden="false" customHeight="false" outlineLevel="0" collapsed="false">
      <c r="A42" s="0" t="n">
        <v>41</v>
      </c>
      <c r="B42" s="0" t="s">
        <v>383</v>
      </c>
      <c r="C42" s="0" t="s">
        <v>384</v>
      </c>
      <c r="D42" s="0" t="s">
        <v>391</v>
      </c>
      <c r="E42" s="6" t="n">
        <v>0.0497106481481482</v>
      </c>
      <c r="F42" s="0" t="n">
        <v>60</v>
      </c>
      <c r="G42" s="0" t="n">
        <v>-160</v>
      </c>
      <c r="H42" s="0" t="n">
        <v>6.19</v>
      </c>
      <c r="I42" s="0" t="s">
        <v>242</v>
      </c>
      <c r="J42" s="0" t="s">
        <v>392</v>
      </c>
      <c r="K42" s="5" t="n">
        <v>45879</v>
      </c>
      <c r="L42" s="0" t="n">
        <v>34</v>
      </c>
    </row>
    <row r="43" customFormat="false" ht="15" hidden="false" customHeight="false" outlineLevel="0" collapsed="false">
      <c r="A43" s="0" t="n">
        <v>42</v>
      </c>
      <c r="B43" s="0" t="s">
        <v>383</v>
      </c>
      <c r="C43" s="0" t="s">
        <v>384</v>
      </c>
      <c r="D43" s="0" t="s">
        <v>374</v>
      </c>
      <c r="E43" s="6" t="n">
        <v>0.0559722222222222</v>
      </c>
      <c r="F43" s="0" t="n">
        <v>140</v>
      </c>
      <c r="G43" s="0" t="n">
        <v>-170</v>
      </c>
      <c r="H43" s="0" t="n">
        <v>8.45</v>
      </c>
      <c r="I43" s="0" t="s">
        <v>247</v>
      </c>
      <c r="J43" s="0" t="s">
        <v>393</v>
      </c>
      <c r="K43" s="5" t="n">
        <v>45877</v>
      </c>
      <c r="L43" s="0" t="n">
        <v>14</v>
      </c>
    </row>
    <row r="44" customFormat="false" ht="15" hidden="false" customHeight="false" outlineLevel="0" collapsed="false">
      <c r="A44" s="0" t="n">
        <v>43</v>
      </c>
      <c r="B44" s="0" t="s">
        <v>378</v>
      </c>
      <c r="C44" s="0" t="s">
        <v>379</v>
      </c>
      <c r="D44" s="0" t="s">
        <v>374</v>
      </c>
      <c r="E44" s="6" t="n">
        <v>0.0560185185185185</v>
      </c>
      <c r="F44" s="0" t="n">
        <v>140</v>
      </c>
      <c r="G44" s="0" t="n">
        <v>-170</v>
      </c>
      <c r="H44" s="0" t="n">
        <v>8.46</v>
      </c>
      <c r="I44" s="0" t="s">
        <v>309</v>
      </c>
      <c r="J44" s="0" t="s">
        <v>216</v>
      </c>
      <c r="K44" s="5" t="n">
        <v>45877</v>
      </c>
      <c r="L44" s="0" t="n">
        <v>9</v>
      </c>
    </row>
    <row r="45" customFormat="false" ht="15" hidden="false" customHeight="false" outlineLevel="0" collapsed="false">
      <c r="A45" s="0" t="n">
        <v>44</v>
      </c>
      <c r="B45" s="0" t="s">
        <v>123</v>
      </c>
      <c r="C45" s="0" t="s">
        <v>124</v>
      </c>
      <c r="D45" s="0" t="s">
        <v>394</v>
      </c>
      <c r="E45" s="6" t="n">
        <v>0.0918287037037037</v>
      </c>
      <c r="F45" s="0" t="n">
        <v>140</v>
      </c>
      <c r="G45" s="0" t="n">
        <v>-690</v>
      </c>
      <c r="H45" s="0" t="n">
        <v>12.64</v>
      </c>
      <c r="I45" s="0" t="s">
        <v>312</v>
      </c>
      <c r="J45" s="0" t="s">
        <v>238</v>
      </c>
      <c r="K45" s="5" t="n">
        <v>45876</v>
      </c>
      <c r="L45" s="0" t="n">
        <v>35</v>
      </c>
    </row>
    <row r="46" customFormat="false" ht="15" hidden="false" customHeight="false" outlineLevel="0" collapsed="false">
      <c r="A46" s="0" t="n">
        <v>45</v>
      </c>
      <c r="B46" s="0" t="s">
        <v>127</v>
      </c>
      <c r="C46" s="0" t="s">
        <v>128</v>
      </c>
      <c r="D46" s="0" t="s">
        <v>394</v>
      </c>
      <c r="E46" s="6" t="n">
        <v>0.0918634259259259</v>
      </c>
      <c r="F46" s="0" t="n">
        <v>140</v>
      </c>
      <c r="G46" s="0" t="n">
        <v>-690</v>
      </c>
      <c r="H46" s="0" t="n">
        <v>14.32</v>
      </c>
      <c r="I46" s="0" t="s">
        <v>317</v>
      </c>
      <c r="J46" s="0" t="s">
        <v>332</v>
      </c>
      <c r="K46" s="5" t="n">
        <v>45876</v>
      </c>
      <c r="L46" s="0" t="n">
        <v>32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6"/>
  <sheetViews>
    <sheetView showFormulas="false" showGridLines="true" showRowColHeaders="true" showZeros="true" rightToLeft="false" tabSelected="false" showOutlineSymbols="true" defaultGridColor="true" view="normal" topLeftCell="A19" colorId="64" zoomScale="100" zoomScaleNormal="100" zoomScalePageLayoutView="100" workbookViewId="0">
      <selection pane="topLeft" activeCell="J41" activeCellId="1" sqref="A:A J41"/>
    </sheetView>
  </sheetViews>
  <sheetFormatPr defaultColWidth="8.59765625" defaultRowHeight="15" customHeight="true" zeroHeight="false" outlineLevelRow="0" outlineLevelCol="0"/>
  <cols>
    <col collapsed="false" customWidth="true" hidden="false" outlineLevel="0" max="3" min="3" style="0" width="17.43"/>
    <col collapsed="false" customWidth="true" hidden="false" outlineLevel="0" max="11" min="11" style="0" width="10.57"/>
  </cols>
  <sheetData>
    <row r="1" customFormat="false" ht="15" hidden="false" customHeight="false" outlineLevel="0" collapsed="false">
      <c r="A1" s="0" t="s">
        <v>59</v>
      </c>
      <c r="B1" s="0" t="s">
        <v>60</v>
      </c>
      <c r="C1" s="0" t="s">
        <v>61</v>
      </c>
      <c r="D1" s="0" t="s">
        <v>62</v>
      </c>
      <c r="E1" s="0" t="s">
        <v>63</v>
      </c>
      <c r="F1" s="0" t="s">
        <v>64</v>
      </c>
      <c r="G1" s="0" t="s">
        <v>65</v>
      </c>
      <c r="H1" s="0" t="s">
        <v>66</v>
      </c>
      <c r="I1" s="0" t="s">
        <v>67</v>
      </c>
      <c r="J1" s="0" t="s">
        <v>68</v>
      </c>
      <c r="K1" s="0" t="s">
        <v>69</v>
      </c>
      <c r="L1" s="0" t="s">
        <v>70</v>
      </c>
    </row>
    <row r="2" customFormat="false" ht="15" hidden="false" customHeight="false" outlineLevel="0" collapsed="false">
      <c r="A2" s="0" t="n">
        <v>1</v>
      </c>
      <c r="B2" s="0" t="s">
        <v>85</v>
      </c>
      <c r="C2" s="0" t="s">
        <v>86</v>
      </c>
      <c r="D2" s="0" t="s">
        <v>395</v>
      </c>
      <c r="E2" s="4" t="n">
        <v>2.38402777777778</v>
      </c>
      <c r="F2" s="0" t="n">
        <v>230</v>
      </c>
      <c r="G2" s="0" t="n">
        <v>230</v>
      </c>
      <c r="H2" s="0" t="n">
        <v>11.19</v>
      </c>
      <c r="I2" s="0" t="s">
        <v>74</v>
      </c>
      <c r="J2" s="0" t="s">
        <v>88</v>
      </c>
      <c r="K2" s="5" t="n">
        <v>45856</v>
      </c>
      <c r="L2" s="0" t="n">
        <v>2</v>
      </c>
    </row>
    <row r="3" customFormat="false" ht="15" hidden="false" customHeight="false" outlineLevel="0" collapsed="false">
      <c r="A3" s="0" t="n">
        <v>2</v>
      </c>
      <c r="B3" s="0" t="s">
        <v>71</v>
      </c>
      <c r="C3" s="0" t="s">
        <v>72</v>
      </c>
      <c r="D3" s="0" t="s">
        <v>396</v>
      </c>
      <c r="E3" s="6" t="n">
        <v>0.0434837962962963</v>
      </c>
      <c r="F3" s="0" t="n">
        <v>250</v>
      </c>
      <c r="G3" s="0" t="n">
        <v>220</v>
      </c>
      <c r="H3" s="0" t="n">
        <v>12.41</v>
      </c>
      <c r="I3" s="0" t="s">
        <v>83</v>
      </c>
      <c r="J3" s="0" t="s">
        <v>75</v>
      </c>
      <c r="K3" s="5" t="n">
        <v>45858</v>
      </c>
      <c r="L3" s="0" t="n">
        <v>17</v>
      </c>
    </row>
    <row r="4" customFormat="false" ht="15" hidden="false" customHeight="false" outlineLevel="0" collapsed="false">
      <c r="A4" s="0" t="n">
        <v>3</v>
      </c>
      <c r="B4" s="0" t="s">
        <v>89</v>
      </c>
      <c r="C4" s="0" t="s">
        <v>90</v>
      </c>
      <c r="D4" s="0" t="s">
        <v>397</v>
      </c>
      <c r="E4" s="4" t="n">
        <v>2.36458333333333</v>
      </c>
      <c r="F4" s="0" t="n">
        <v>210</v>
      </c>
      <c r="G4" s="0" t="n">
        <v>210</v>
      </c>
      <c r="H4" s="0" t="n">
        <v>10.36</v>
      </c>
      <c r="I4" s="0" t="s">
        <v>87</v>
      </c>
      <c r="J4" s="0" t="s">
        <v>84</v>
      </c>
      <c r="K4" s="5" t="n">
        <v>45840</v>
      </c>
      <c r="L4" s="0" t="n">
        <v>27</v>
      </c>
    </row>
    <row r="5" customFormat="false" ht="15" hidden="false" customHeight="false" outlineLevel="0" collapsed="false">
      <c r="A5" s="0" t="n">
        <v>4</v>
      </c>
      <c r="B5" s="0" t="s">
        <v>103</v>
      </c>
      <c r="C5" s="0" t="s">
        <v>104</v>
      </c>
      <c r="D5" s="0" t="s">
        <v>398</v>
      </c>
      <c r="E5" s="6" t="n">
        <v>0.0420023148148148</v>
      </c>
      <c r="F5" s="0" t="n">
        <v>210</v>
      </c>
      <c r="G5" s="0" t="n">
        <v>200</v>
      </c>
      <c r="H5" s="0" t="n">
        <v>10.49</v>
      </c>
      <c r="I5" s="0" t="s">
        <v>92</v>
      </c>
      <c r="J5" s="0" t="s">
        <v>106</v>
      </c>
      <c r="K5" s="5" t="n">
        <v>45834</v>
      </c>
      <c r="L5" s="0" t="n">
        <v>18</v>
      </c>
    </row>
    <row r="6" customFormat="false" ht="15" hidden="false" customHeight="false" outlineLevel="0" collapsed="false">
      <c r="A6" s="0" t="n">
        <v>5</v>
      </c>
      <c r="B6" s="0" t="s">
        <v>76</v>
      </c>
      <c r="C6" s="0" t="s">
        <v>77</v>
      </c>
      <c r="D6" s="0" t="s">
        <v>399</v>
      </c>
      <c r="E6" s="7" t="n">
        <v>0</v>
      </c>
      <c r="F6" s="0" t="n">
        <v>180</v>
      </c>
      <c r="G6" s="0" t="n">
        <v>180</v>
      </c>
      <c r="H6" s="0" t="n">
        <v>8.42</v>
      </c>
      <c r="I6" s="0" t="s">
        <v>78</v>
      </c>
      <c r="J6" s="0" t="s">
        <v>79</v>
      </c>
      <c r="K6" s="5" t="n">
        <v>45855</v>
      </c>
      <c r="L6" s="0" t="n">
        <v>13</v>
      </c>
    </row>
    <row r="7" customFormat="false" ht="15" hidden="false" customHeight="false" outlineLevel="0" collapsed="false">
      <c r="A7" s="0" t="n">
        <v>6</v>
      </c>
      <c r="B7" s="0" t="s">
        <v>119</v>
      </c>
      <c r="C7" s="0" t="s">
        <v>120</v>
      </c>
      <c r="D7" s="0" t="s">
        <v>399</v>
      </c>
      <c r="E7" s="4" t="n">
        <v>2.23333333333333</v>
      </c>
      <c r="F7" s="0" t="n">
        <v>180</v>
      </c>
      <c r="G7" s="0" t="n">
        <v>180</v>
      </c>
      <c r="H7" s="0" t="n">
        <v>8.02</v>
      </c>
      <c r="I7" s="0" t="s">
        <v>95</v>
      </c>
      <c r="J7" s="0" t="s">
        <v>122</v>
      </c>
      <c r="K7" s="5" t="n">
        <v>45869</v>
      </c>
      <c r="L7" s="0" t="n">
        <v>32</v>
      </c>
    </row>
    <row r="8" customFormat="false" ht="15" hidden="false" customHeight="false" outlineLevel="0" collapsed="false">
      <c r="A8" s="0" t="n">
        <v>7</v>
      </c>
      <c r="B8" s="0" t="s">
        <v>400</v>
      </c>
      <c r="C8" s="0" t="s">
        <v>401</v>
      </c>
      <c r="D8" s="0" t="s">
        <v>402</v>
      </c>
      <c r="E8" s="4" t="n">
        <v>2.27222222222222</v>
      </c>
      <c r="F8" s="0" t="n">
        <v>180</v>
      </c>
      <c r="G8" s="0" t="n">
        <v>180</v>
      </c>
      <c r="H8" s="0" t="n">
        <v>8.97</v>
      </c>
      <c r="I8" s="0" t="s">
        <v>101</v>
      </c>
      <c r="J8" s="0" t="s">
        <v>248</v>
      </c>
      <c r="K8" s="5" t="n">
        <v>45864</v>
      </c>
      <c r="L8" s="0" t="n">
        <v>8</v>
      </c>
    </row>
    <row r="9" customFormat="false" ht="15" hidden="false" customHeight="false" outlineLevel="0" collapsed="false">
      <c r="A9" s="0" t="n">
        <v>8</v>
      </c>
      <c r="B9" s="0" t="s">
        <v>123</v>
      </c>
      <c r="C9" s="0" t="s">
        <v>124</v>
      </c>
      <c r="D9" s="0" t="s">
        <v>403</v>
      </c>
      <c r="E9" s="4" t="n">
        <v>2.28263888888889</v>
      </c>
      <c r="F9" s="0" t="n">
        <v>180</v>
      </c>
      <c r="G9" s="0" t="n">
        <v>180</v>
      </c>
      <c r="H9" s="0" t="n">
        <v>8.3</v>
      </c>
      <c r="I9" s="0" t="s">
        <v>125</v>
      </c>
      <c r="J9" s="0" t="s">
        <v>126</v>
      </c>
      <c r="K9" s="5" t="n">
        <v>45839</v>
      </c>
      <c r="L9" s="0" t="n">
        <v>33</v>
      </c>
    </row>
    <row r="10" customFormat="false" ht="15" hidden="false" customHeight="false" outlineLevel="0" collapsed="false">
      <c r="A10" s="0" t="n">
        <v>9</v>
      </c>
      <c r="B10" s="0" t="s">
        <v>127</v>
      </c>
      <c r="C10" s="0" t="s">
        <v>128</v>
      </c>
      <c r="D10" s="0" t="s">
        <v>403</v>
      </c>
      <c r="E10" s="4" t="n">
        <v>2.29097222222222</v>
      </c>
      <c r="F10" s="0" t="n">
        <v>180</v>
      </c>
      <c r="G10" s="0" t="n">
        <v>180</v>
      </c>
      <c r="H10" s="0" t="n">
        <v>9.76</v>
      </c>
      <c r="I10" s="0" t="s">
        <v>129</v>
      </c>
      <c r="J10" s="0" t="s">
        <v>130</v>
      </c>
      <c r="K10" s="5" t="n">
        <v>45839</v>
      </c>
      <c r="L10" s="0" t="n">
        <v>5</v>
      </c>
    </row>
    <row r="11" customFormat="false" ht="15" hidden="false" customHeight="false" outlineLevel="0" collapsed="false">
      <c r="A11" s="0" t="n">
        <v>10</v>
      </c>
      <c r="B11" s="0" t="s">
        <v>89</v>
      </c>
      <c r="C11" s="0" t="s">
        <v>90</v>
      </c>
      <c r="D11" s="0" t="s">
        <v>403</v>
      </c>
      <c r="E11" s="4" t="n">
        <v>2.29305555555556</v>
      </c>
      <c r="F11" s="0" t="n">
        <v>180</v>
      </c>
      <c r="G11" s="0" t="n">
        <v>180</v>
      </c>
      <c r="H11" s="0" t="n">
        <v>8.42</v>
      </c>
      <c r="I11" s="0" t="s">
        <v>97</v>
      </c>
      <c r="J11" s="0" t="s">
        <v>93</v>
      </c>
      <c r="K11" s="5" t="n">
        <v>45839</v>
      </c>
      <c r="L11" s="0" t="n">
        <v>11</v>
      </c>
    </row>
    <row r="12" customFormat="false" ht="15" hidden="false" customHeight="false" outlineLevel="0" collapsed="false">
      <c r="A12" s="0" t="n">
        <v>11</v>
      </c>
      <c r="B12" s="0" t="s">
        <v>146</v>
      </c>
      <c r="C12" s="0" t="s">
        <v>147</v>
      </c>
      <c r="D12" s="0" t="s">
        <v>399</v>
      </c>
      <c r="E12" s="4" t="n">
        <v>2.30486111111111</v>
      </c>
      <c r="F12" s="0" t="n">
        <v>180</v>
      </c>
      <c r="G12" s="0" t="n">
        <v>180</v>
      </c>
      <c r="H12" s="0" t="n">
        <v>8.91</v>
      </c>
      <c r="I12" s="0" t="s">
        <v>105</v>
      </c>
      <c r="J12" s="0" t="s">
        <v>118</v>
      </c>
      <c r="K12" s="5" t="n">
        <v>45839</v>
      </c>
      <c r="L12" s="0" t="n">
        <v>31</v>
      </c>
    </row>
    <row r="13" customFormat="false" ht="15" hidden="false" customHeight="false" outlineLevel="0" collapsed="false">
      <c r="A13" s="0" t="n">
        <v>12</v>
      </c>
      <c r="B13" s="0" t="s">
        <v>135</v>
      </c>
      <c r="C13" s="0" t="s">
        <v>136</v>
      </c>
      <c r="D13" s="0" t="s">
        <v>399</v>
      </c>
      <c r="E13" s="4" t="n">
        <v>2.33472222222222</v>
      </c>
      <c r="F13" s="0" t="n">
        <v>180</v>
      </c>
      <c r="G13" s="0" t="n">
        <v>180</v>
      </c>
      <c r="H13" s="0" t="n">
        <v>8.39</v>
      </c>
      <c r="I13" s="0" t="s">
        <v>110</v>
      </c>
      <c r="J13" s="0" t="s">
        <v>139</v>
      </c>
      <c r="K13" s="5" t="n">
        <v>45856</v>
      </c>
      <c r="L13" s="0" t="n">
        <v>14</v>
      </c>
    </row>
    <row r="14" customFormat="false" ht="15" hidden="false" customHeight="false" outlineLevel="0" collapsed="false">
      <c r="A14" s="0" t="n">
        <v>13</v>
      </c>
      <c r="B14" s="0" t="s">
        <v>119</v>
      </c>
      <c r="C14" s="0" t="s">
        <v>120</v>
      </c>
      <c r="D14" s="0" t="s">
        <v>404</v>
      </c>
      <c r="E14" s="4" t="n">
        <v>2.25625</v>
      </c>
      <c r="F14" s="0" t="n">
        <v>160</v>
      </c>
      <c r="G14" s="0" t="n">
        <v>160</v>
      </c>
      <c r="H14" s="0" t="n">
        <v>7.85</v>
      </c>
      <c r="I14" s="0" t="s">
        <v>121</v>
      </c>
      <c r="J14" s="0" t="s">
        <v>152</v>
      </c>
      <c r="K14" s="5" t="n">
        <v>45833</v>
      </c>
      <c r="L14" s="0" t="n">
        <v>6</v>
      </c>
    </row>
    <row r="15" customFormat="false" ht="15" hidden="false" customHeight="false" outlineLevel="0" collapsed="false">
      <c r="A15" s="0" t="n">
        <v>14</v>
      </c>
      <c r="B15" s="0" t="s">
        <v>107</v>
      </c>
      <c r="C15" s="0" t="s">
        <v>108</v>
      </c>
      <c r="D15" s="0" t="s">
        <v>404</v>
      </c>
      <c r="E15" s="4" t="n">
        <v>2.25625</v>
      </c>
      <c r="F15" s="0" t="n">
        <v>160</v>
      </c>
      <c r="G15" s="0" t="n">
        <v>160</v>
      </c>
      <c r="H15" s="0" t="n">
        <v>7.36</v>
      </c>
      <c r="I15" s="0" t="s">
        <v>117</v>
      </c>
      <c r="J15" s="0" t="s">
        <v>111</v>
      </c>
      <c r="K15" s="5" t="n">
        <v>45833</v>
      </c>
      <c r="L15" s="0" t="n">
        <v>16</v>
      </c>
    </row>
    <row r="16" customFormat="false" ht="15" hidden="false" customHeight="false" outlineLevel="0" collapsed="false">
      <c r="A16" s="0" t="n">
        <v>15</v>
      </c>
      <c r="B16" s="0" t="s">
        <v>135</v>
      </c>
      <c r="C16" s="0" t="s">
        <v>136</v>
      </c>
      <c r="D16" s="0" t="s">
        <v>404</v>
      </c>
      <c r="E16" s="4" t="n">
        <v>2.28888888888889</v>
      </c>
      <c r="F16" s="0" t="n">
        <v>160</v>
      </c>
      <c r="G16" s="0" t="n">
        <v>160</v>
      </c>
      <c r="H16" s="0" t="n">
        <v>7.65</v>
      </c>
      <c r="I16" s="0" t="s">
        <v>133</v>
      </c>
      <c r="J16" s="0" t="s">
        <v>158</v>
      </c>
      <c r="K16" s="5" t="n">
        <v>45854</v>
      </c>
      <c r="L16" s="0" t="n">
        <v>15</v>
      </c>
    </row>
    <row r="17" customFormat="false" ht="15" hidden="false" customHeight="false" outlineLevel="0" collapsed="false">
      <c r="A17" s="0" t="n">
        <v>16</v>
      </c>
      <c r="B17" s="0" t="s">
        <v>169</v>
      </c>
      <c r="C17" s="0" t="s">
        <v>170</v>
      </c>
      <c r="D17" s="0" t="s">
        <v>404</v>
      </c>
      <c r="E17" s="4" t="n">
        <v>2.33472222222222</v>
      </c>
      <c r="F17" s="0" t="n">
        <v>160</v>
      </c>
      <c r="G17" s="0" t="n">
        <v>160</v>
      </c>
      <c r="H17" s="0" t="n">
        <v>7.05</v>
      </c>
      <c r="I17" s="0" t="s">
        <v>138</v>
      </c>
      <c r="J17" s="0" t="s">
        <v>173</v>
      </c>
      <c r="K17" s="5" t="n">
        <v>45831</v>
      </c>
      <c r="L17" s="0" t="n">
        <v>28</v>
      </c>
    </row>
    <row r="18" customFormat="false" ht="15" hidden="false" customHeight="false" outlineLevel="0" collapsed="false">
      <c r="A18" s="0" t="n">
        <v>17</v>
      </c>
      <c r="B18" s="0" t="s">
        <v>400</v>
      </c>
      <c r="C18" s="0" t="s">
        <v>401</v>
      </c>
      <c r="D18" s="0" t="s">
        <v>405</v>
      </c>
      <c r="E18" s="4" t="n">
        <v>2.35625</v>
      </c>
      <c r="F18" s="0" t="n">
        <v>160</v>
      </c>
      <c r="G18" s="0" t="n">
        <v>160</v>
      </c>
      <c r="H18" s="0" t="n">
        <v>7.16</v>
      </c>
      <c r="I18" s="0" t="s">
        <v>180</v>
      </c>
      <c r="J18" s="0" t="s">
        <v>318</v>
      </c>
      <c r="K18" s="5" t="n">
        <v>45861</v>
      </c>
      <c r="L18" s="0" t="n">
        <v>29</v>
      </c>
    </row>
    <row r="19" customFormat="false" ht="15" hidden="false" customHeight="false" outlineLevel="0" collapsed="false">
      <c r="A19" s="0" t="n">
        <v>18</v>
      </c>
      <c r="B19" s="0" t="s">
        <v>177</v>
      </c>
      <c r="C19" s="0" t="s">
        <v>406</v>
      </c>
      <c r="D19" s="0" t="s">
        <v>405</v>
      </c>
      <c r="E19" s="4" t="n">
        <v>2.35902777777778</v>
      </c>
      <c r="F19" s="0" t="n">
        <v>160</v>
      </c>
      <c r="G19" s="0" t="n">
        <v>160</v>
      </c>
      <c r="H19" s="0" t="n">
        <v>7.02</v>
      </c>
      <c r="I19" s="0" t="s">
        <v>188</v>
      </c>
      <c r="J19" s="0" t="s">
        <v>407</v>
      </c>
      <c r="K19" s="5" t="n">
        <v>45861</v>
      </c>
      <c r="L19" s="0" t="n">
        <v>20</v>
      </c>
    </row>
    <row r="20" customFormat="false" ht="15" hidden="false" customHeight="false" outlineLevel="0" collapsed="false">
      <c r="A20" s="0" t="n">
        <v>19</v>
      </c>
      <c r="B20" s="0" t="s">
        <v>219</v>
      </c>
      <c r="C20" s="0" t="s">
        <v>346</v>
      </c>
      <c r="D20" s="0" t="s">
        <v>405</v>
      </c>
      <c r="E20" s="4" t="n">
        <v>2.39444444444444</v>
      </c>
      <c r="F20" s="0" t="n">
        <v>160</v>
      </c>
      <c r="G20" s="0" t="n">
        <v>160</v>
      </c>
      <c r="H20" s="0" t="n">
        <v>7.27</v>
      </c>
      <c r="I20" s="0" t="s">
        <v>140</v>
      </c>
      <c r="J20" s="0" t="s">
        <v>196</v>
      </c>
      <c r="K20" s="5" t="n">
        <v>45893</v>
      </c>
      <c r="L20" s="0" t="n">
        <v>36</v>
      </c>
    </row>
    <row r="21" customFormat="false" ht="15" hidden="false" customHeight="false" outlineLevel="0" collapsed="false">
      <c r="A21" s="0" t="n">
        <v>20</v>
      </c>
      <c r="B21" s="0" t="s">
        <v>119</v>
      </c>
      <c r="C21" s="0" t="s">
        <v>194</v>
      </c>
      <c r="D21" s="0" t="s">
        <v>408</v>
      </c>
      <c r="E21" s="4" t="n">
        <v>2.42291666666667</v>
      </c>
      <c r="F21" s="0" t="n">
        <v>140</v>
      </c>
      <c r="G21" s="0" t="n">
        <v>140</v>
      </c>
      <c r="H21" s="0" t="n">
        <v>7.88</v>
      </c>
      <c r="I21" s="0" t="s">
        <v>144</v>
      </c>
      <c r="J21" s="0" t="s">
        <v>203</v>
      </c>
      <c r="K21" s="5" t="n">
        <v>45832</v>
      </c>
      <c r="L21" s="0" t="n">
        <v>19</v>
      </c>
    </row>
    <row r="22" customFormat="false" ht="15" hidden="false" customHeight="false" outlineLevel="0" collapsed="false">
      <c r="A22" s="0" t="n">
        <v>21</v>
      </c>
      <c r="B22" s="0" t="s">
        <v>190</v>
      </c>
      <c r="C22" s="0" t="s">
        <v>191</v>
      </c>
      <c r="D22" s="0" t="s">
        <v>408</v>
      </c>
      <c r="E22" s="4" t="n">
        <v>2.42291666666667</v>
      </c>
      <c r="F22" s="0" t="n">
        <v>140</v>
      </c>
      <c r="G22" s="0" t="n">
        <v>140</v>
      </c>
      <c r="H22" s="0" t="n">
        <v>7.88</v>
      </c>
      <c r="I22" s="0" t="s">
        <v>142</v>
      </c>
      <c r="J22" s="0" t="s">
        <v>176</v>
      </c>
      <c r="K22" s="5" t="n">
        <v>45832</v>
      </c>
      <c r="L22" s="0" t="n">
        <v>34</v>
      </c>
    </row>
    <row r="23" customFormat="false" ht="15" hidden="false" customHeight="false" outlineLevel="0" collapsed="false">
      <c r="A23" s="0" t="n">
        <v>22</v>
      </c>
      <c r="B23" s="0" t="s">
        <v>383</v>
      </c>
      <c r="C23" s="0" t="s">
        <v>384</v>
      </c>
      <c r="D23" s="0" t="s">
        <v>409</v>
      </c>
      <c r="E23" s="4" t="n">
        <v>2.17638888888889</v>
      </c>
      <c r="F23" s="0" t="n">
        <v>110</v>
      </c>
      <c r="G23" s="0" t="n">
        <v>110</v>
      </c>
      <c r="H23" s="0" t="n">
        <v>6.87</v>
      </c>
      <c r="I23" s="0" t="s">
        <v>213</v>
      </c>
      <c r="J23" s="0" t="s">
        <v>386</v>
      </c>
      <c r="K23" s="5" t="n">
        <v>45867</v>
      </c>
      <c r="L23" s="0" t="n">
        <v>3</v>
      </c>
    </row>
    <row r="24" customFormat="false" ht="15" hidden="false" customHeight="false" outlineLevel="0" collapsed="false">
      <c r="A24" s="0" t="n">
        <v>23</v>
      </c>
      <c r="B24" s="0" t="s">
        <v>378</v>
      </c>
      <c r="C24" s="0" t="s">
        <v>379</v>
      </c>
      <c r="D24" s="0" t="s">
        <v>409</v>
      </c>
      <c r="E24" s="4" t="n">
        <v>2.17638888888889</v>
      </c>
      <c r="F24" s="0" t="n">
        <v>110</v>
      </c>
      <c r="G24" s="0" t="n">
        <v>110</v>
      </c>
      <c r="H24" s="0" t="n">
        <v>6.87</v>
      </c>
      <c r="I24" s="0" t="s">
        <v>215</v>
      </c>
      <c r="J24" s="0" t="s">
        <v>212</v>
      </c>
      <c r="K24" s="5" t="n">
        <v>45867</v>
      </c>
      <c r="L24" s="0" t="n">
        <v>23</v>
      </c>
    </row>
    <row r="25" customFormat="false" ht="15" hidden="false" customHeight="false" outlineLevel="0" collapsed="false">
      <c r="A25" s="0" t="n">
        <v>24</v>
      </c>
      <c r="B25" s="0" t="s">
        <v>162</v>
      </c>
      <c r="C25" s="0" t="s">
        <v>72</v>
      </c>
      <c r="D25" s="0" t="s">
        <v>409</v>
      </c>
      <c r="E25" s="4" t="n">
        <v>2.17638888888889</v>
      </c>
      <c r="F25" s="0" t="n">
        <v>110</v>
      </c>
      <c r="G25" s="0" t="n">
        <v>110</v>
      </c>
      <c r="H25" s="0" t="n">
        <v>6.87</v>
      </c>
      <c r="I25" s="0" t="s">
        <v>211</v>
      </c>
      <c r="J25" s="0" t="s">
        <v>181</v>
      </c>
      <c r="K25" s="5" t="n">
        <v>45867</v>
      </c>
      <c r="L25" s="0" t="n">
        <v>24</v>
      </c>
    </row>
    <row r="26" customFormat="false" ht="15" hidden="false" customHeight="false" outlineLevel="0" collapsed="false">
      <c r="A26" s="0" t="n">
        <v>25</v>
      </c>
      <c r="B26" s="0" t="s">
        <v>190</v>
      </c>
      <c r="C26" s="0" t="s">
        <v>191</v>
      </c>
      <c r="D26" s="0" t="s">
        <v>404</v>
      </c>
      <c r="E26" s="6" t="n">
        <v>0.0448842592592593</v>
      </c>
      <c r="F26" s="0" t="n">
        <v>160</v>
      </c>
      <c r="G26" s="0" t="n">
        <v>110</v>
      </c>
      <c r="H26" s="0" t="n">
        <v>7.35</v>
      </c>
      <c r="I26" s="0" t="s">
        <v>149</v>
      </c>
      <c r="J26" s="0" t="s">
        <v>193</v>
      </c>
      <c r="K26" s="5" t="n">
        <v>45845</v>
      </c>
      <c r="L26" s="0" t="n">
        <v>25</v>
      </c>
    </row>
    <row r="27" customFormat="false" ht="15" hidden="false" customHeight="false" outlineLevel="0" collapsed="false">
      <c r="A27" s="0" t="n">
        <v>26</v>
      </c>
      <c r="B27" s="0" t="s">
        <v>194</v>
      </c>
      <c r="C27" s="0" t="s">
        <v>119</v>
      </c>
      <c r="D27" s="0" t="s">
        <v>404</v>
      </c>
      <c r="E27" s="6" t="n">
        <v>0.0461689814814815</v>
      </c>
      <c r="F27" s="0" t="n">
        <v>160</v>
      </c>
      <c r="G27" s="0" t="n">
        <v>90</v>
      </c>
      <c r="H27" s="0" t="n">
        <v>7.08</v>
      </c>
      <c r="I27" s="0" t="s">
        <v>151</v>
      </c>
      <c r="J27" s="0" t="s">
        <v>229</v>
      </c>
      <c r="K27" s="5" t="n">
        <v>45845</v>
      </c>
      <c r="L27" s="0" t="n">
        <v>30</v>
      </c>
    </row>
    <row r="28" customFormat="false" ht="15" hidden="false" customHeight="false" outlineLevel="0" collapsed="false">
      <c r="A28" s="0" t="n">
        <v>27</v>
      </c>
      <c r="B28" s="0" t="s">
        <v>197</v>
      </c>
      <c r="C28" s="0" t="s">
        <v>198</v>
      </c>
      <c r="D28" s="0" t="s">
        <v>410</v>
      </c>
      <c r="E28" s="4" t="n">
        <v>2.21388888888889</v>
      </c>
      <c r="F28" s="0" t="n">
        <v>80</v>
      </c>
      <c r="G28" s="0" t="n">
        <v>80</v>
      </c>
      <c r="H28" s="0" t="n">
        <v>5.52</v>
      </c>
      <c r="I28" s="0" t="s">
        <v>154</v>
      </c>
      <c r="J28" s="0" t="s">
        <v>200</v>
      </c>
      <c r="K28" s="5" t="n">
        <v>45852</v>
      </c>
      <c r="L28" s="0" t="n">
        <v>9</v>
      </c>
    </row>
    <row r="29" customFormat="false" ht="15" hidden="false" customHeight="false" outlineLevel="0" collapsed="false">
      <c r="A29" s="0" t="n">
        <v>28</v>
      </c>
      <c r="B29" s="0" t="s">
        <v>197</v>
      </c>
      <c r="C29" s="0" t="s">
        <v>198</v>
      </c>
      <c r="D29" s="0" t="s">
        <v>411</v>
      </c>
      <c r="E29" s="4" t="n">
        <v>2.15972222222222</v>
      </c>
      <c r="F29" s="0" t="n">
        <v>70</v>
      </c>
      <c r="G29" s="0" t="n">
        <v>70</v>
      </c>
      <c r="H29" s="0" t="n">
        <v>4.53</v>
      </c>
      <c r="I29" s="0" t="s">
        <v>157</v>
      </c>
      <c r="J29" s="0" t="s">
        <v>231</v>
      </c>
      <c r="K29" s="5" t="n">
        <v>45854</v>
      </c>
      <c r="L29" s="0" t="n">
        <v>10</v>
      </c>
    </row>
    <row r="30" customFormat="false" ht="15" hidden="false" customHeight="false" outlineLevel="0" collapsed="false">
      <c r="A30" s="0" t="n">
        <v>29</v>
      </c>
      <c r="B30" s="0" t="s">
        <v>103</v>
      </c>
      <c r="C30" s="0" t="s">
        <v>104</v>
      </c>
      <c r="D30" s="0" t="s">
        <v>395</v>
      </c>
      <c r="E30" s="6" t="n">
        <v>0.0522800925925926</v>
      </c>
      <c r="F30" s="0" t="n">
        <v>230</v>
      </c>
      <c r="G30" s="0" t="n">
        <v>70</v>
      </c>
      <c r="H30" s="0" t="n">
        <v>11.39</v>
      </c>
      <c r="I30" s="0" t="s">
        <v>160</v>
      </c>
      <c r="J30" s="0" t="s">
        <v>145</v>
      </c>
      <c r="K30" s="5" t="n">
        <v>45813</v>
      </c>
      <c r="L30" s="0" t="n">
        <v>12</v>
      </c>
    </row>
    <row r="31" customFormat="false" ht="15" hidden="false" customHeight="false" outlineLevel="0" collapsed="false">
      <c r="A31" s="0" t="n">
        <v>30</v>
      </c>
      <c r="B31" s="0" t="s">
        <v>383</v>
      </c>
      <c r="C31" s="0" t="s">
        <v>384</v>
      </c>
      <c r="D31" s="0" t="s">
        <v>412</v>
      </c>
      <c r="E31" s="4" t="n">
        <v>1.50833333333333</v>
      </c>
      <c r="F31" s="0" t="n">
        <v>40</v>
      </c>
      <c r="G31" s="0" t="n">
        <v>40</v>
      </c>
      <c r="H31" s="0" t="n">
        <v>3.8</v>
      </c>
      <c r="I31" s="0" t="s">
        <v>237</v>
      </c>
      <c r="J31" s="0" t="s">
        <v>392</v>
      </c>
      <c r="K31" s="5" t="n">
        <v>45867</v>
      </c>
      <c r="L31" s="0" t="n">
        <v>4</v>
      </c>
    </row>
    <row r="32" customFormat="false" ht="15" hidden="false" customHeight="false" outlineLevel="0" collapsed="false">
      <c r="A32" s="0" t="n">
        <v>31</v>
      </c>
      <c r="B32" s="0" t="s">
        <v>162</v>
      </c>
      <c r="C32" s="0" t="s">
        <v>72</v>
      </c>
      <c r="D32" s="0" t="s">
        <v>412</v>
      </c>
      <c r="E32" s="4" t="n">
        <v>1.50833333333333</v>
      </c>
      <c r="F32" s="0" t="n">
        <v>40</v>
      </c>
      <c r="G32" s="0" t="n">
        <v>40</v>
      </c>
      <c r="H32" s="0" t="n">
        <v>3.8</v>
      </c>
      <c r="I32" s="0" t="s">
        <v>217</v>
      </c>
      <c r="J32" s="0" t="s">
        <v>216</v>
      </c>
      <c r="K32" s="5" t="n">
        <v>45867</v>
      </c>
      <c r="L32" s="0" t="n">
        <v>22</v>
      </c>
    </row>
    <row r="33" customFormat="false" ht="15" hidden="false" customHeight="false" outlineLevel="0" collapsed="false">
      <c r="A33" s="0" t="n">
        <v>32</v>
      </c>
      <c r="B33" s="0" t="s">
        <v>378</v>
      </c>
      <c r="C33" s="0" t="s">
        <v>379</v>
      </c>
      <c r="D33" s="0" t="s">
        <v>412</v>
      </c>
      <c r="E33" s="4" t="n">
        <v>1.50833333333333</v>
      </c>
      <c r="F33" s="0" t="n">
        <v>40</v>
      </c>
      <c r="G33" s="0" t="n">
        <v>40</v>
      </c>
      <c r="H33" s="0" t="n">
        <v>3.8</v>
      </c>
      <c r="I33" s="0" t="s">
        <v>235</v>
      </c>
      <c r="J33" s="0" t="s">
        <v>238</v>
      </c>
      <c r="K33" s="5" t="n">
        <v>45867</v>
      </c>
      <c r="L33" s="0" t="n">
        <v>35</v>
      </c>
    </row>
    <row r="34" customFormat="false" ht="15" hidden="false" customHeight="false" outlineLevel="0" collapsed="false">
      <c r="A34" s="0" t="n">
        <v>33</v>
      </c>
      <c r="B34" s="0" t="s">
        <v>219</v>
      </c>
      <c r="C34" s="0" t="s">
        <v>220</v>
      </c>
      <c r="D34" s="0" t="s">
        <v>413</v>
      </c>
      <c r="E34" s="6" t="n">
        <v>0.054375</v>
      </c>
      <c r="F34" s="0" t="n">
        <v>140</v>
      </c>
      <c r="G34" s="0" t="n">
        <v>-50</v>
      </c>
      <c r="H34" s="0" t="n">
        <v>9.81</v>
      </c>
      <c r="I34" s="0" t="s">
        <v>164</v>
      </c>
      <c r="J34" s="0" t="s">
        <v>222</v>
      </c>
      <c r="K34" s="5" t="n">
        <v>45859</v>
      </c>
      <c r="L34" s="0" t="n">
        <v>7</v>
      </c>
    </row>
    <row r="35" customFormat="false" ht="15" hidden="false" customHeight="false" outlineLevel="0" collapsed="false">
      <c r="A35" s="0" t="n">
        <v>34</v>
      </c>
      <c r="B35" s="0" t="s">
        <v>99</v>
      </c>
      <c r="C35" s="0" t="s">
        <v>100</v>
      </c>
      <c r="D35" s="0" t="s">
        <v>404</v>
      </c>
      <c r="E35" s="6" t="n">
        <v>0.0743634259259259</v>
      </c>
      <c r="F35" s="0" t="n">
        <v>160</v>
      </c>
      <c r="G35" s="0" t="n">
        <v>-320</v>
      </c>
      <c r="H35" s="0" t="n">
        <v>7.54</v>
      </c>
      <c r="I35" s="0" t="s">
        <v>242</v>
      </c>
      <c r="J35" s="0" t="s">
        <v>102</v>
      </c>
      <c r="K35" s="5" t="n">
        <v>45832</v>
      </c>
      <c r="L35" s="0" t="n">
        <v>21</v>
      </c>
    </row>
    <row r="36" customFormat="false" ht="15" hidden="false" customHeight="false" outlineLevel="0" collapsed="false">
      <c r="A36" s="0" t="n">
        <v>35</v>
      </c>
      <c r="B36" s="0" t="s">
        <v>80</v>
      </c>
      <c r="C36" s="0" t="s">
        <v>81</v>
      </c>
      <c r="D36" s="0" t="s">
        <v>396</v>
      </c>
      <c r="E36" s="6" t="n">
        <v>0.112106481481481</v>
      </c>
      <c r="F36" s="0" t="n">
        <v>250</v>
      </c>
      <c r="G36" s="0" t="n">
        <v>-770</v>
      </c>
      <c r="H36" s="0" t="n">
        <v>12.29</v>
      </c>
      <c r="I36" s="0" t="s">
        <v>167</v>
      </c>
      <c r="J36" s="0" t="s">
        <v>134</v>
      </c>
      <c r="K36" s="5" t="n">
        <v>45816</v>
      </c>
      <c r="L36" s="0" t="n">
        <v>26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O25" activeCellId="1" sqref="A:A O25"/>
    </sheetView>
  </sheetViews>
  <sheetFormatPr defaultColWidth="8.59765625" defaultRowHeight="15" customHeight="true" zeroHeight="false" outlineLevelRow="0" outlineLevelCol="0"/>
  <cols>
    <col collapsed="false" customWidth="true" hidden="false" outlineLevel="0" max="3" min="3" style="0" width="13.86"/>
    <col collapsed="false" customWidth="true" hidden="false" outlineLevel="0" max="11" min="11" style="0" width="11.15"/>
  </cols>
  <sheetData>
    <row r="1" customFormat="false" ht="15" hidden="false" customHeight="false" outlineLevel="0" collapsed="false">
      <c r="A1" s="0" t="s">
        <v>59</v>
      </c>
      <c r="B1" s="0" t="s">
        <v>60</v>
      </c>
      <c r="C1" s="0" t="s">
        <v>61</v>
      </c>
      <c r="D1" s="0" t="s">
        <v>62</v>
      </c>
      <c r="E1" s="0" t="s">
        <v>63</v>
      </c>
      <c r="F1" s="0" t="s">
        <v>64</v>
      </c>
      <c r="G1" s="0" t="s">
        <v>65</v>
      </c>
      <c r="H1" s="0" t="s">
        <v>66</v>
      </c>
      <c r="I1" s="0" t="s">
        <v>67</v>
      </c>
      <c r="J1" s="0" t="s">
        <v>68</v>
      </c>
      <c r="K1" s="0" t="s">
        <v>69</v>
      </c>
      <c r="L1" s="0" t="s">
        <v>70</v>
      </c>
    </row>
    <row r="2" customFormat="false" ht="15" hidden="false" customHeight="false" outlineLevel="0" collapsed="false">
      <c r="A2" s="0" t="n">
        <v>1</v>
      </c>
      <c r="B2" s="0" t="s">
        <v>85</v>
      </c>
      <c r="C2" s="0" t="s">
        <v>86</v>
      </c>
      <c r="D2" s="0" t="s">
        <v>414</v>
      </c>
      <c r="E2" s="6" t="n">
        <v>0.0539583333333333</v>
      </c>
      <c r="F2" s="0" t="n">
        <v>250</v>
      </c>
      <c r="G2" s="0" t="n">
        <v>250</v>
      </c>
      <c r="H2" s="0" t="n">
        <v>14.71</v>
      </c>
      <c r="I2" s="0" t="s">
        <v>74</v>
      </c>
      <c r="J2" s="0" t="s">
        <v>88</v>
      </c>
      <c r="K2" s="5" t="n">
        <v>45859</v>
      </c>
      <c r="L2" s="0" t="n">
        <v>14</v>
      </c>
    </row>
    <row r="3" customFormat="false" ht="15" hidden="false" customHeight="false" outlineLevel="0" collapsed="false">
      <c r="A3" s="0" t="n">
        <v>2</v>
      </c>
      <c r="B3" s="0" t="s">
        <v>89</v>
      </c>
      <c r="C3" s="0" t="s">
        <v>90</v>
      </c>
      <c r="D3" s="0" t="s">
        <v>415</v>
      </c>
      <c r="E3" s="6" t="n">
        <v>0.0540509259259259</v>
      </c>
      <c r="F3" s="0" t="n">
        <v>220</v>
      </c>
      <c r="G3" s="0" t="n">
        <v>220</v>
      </c>
      <c r="H3" s="0" t="n">
        <v>13.94</v>
      </c>
      <c r="I3" s="0" t="s">
        <v>83</v>
      </c>
      <c r="J3" s="0" t="s">
        <v>84</v>
      </c>
      <c r="K3" s="5" t="n">
        <v>45856</v>
      </c>
      <c r="L3" s="0" t="n">
        <v>5</v>
      </c>
    </row>
    <row r="4" customFormat="false" ht="15" hidden="false" customHeight="false" outlineLevel="0" collapsed="false">
      <c r="A4" s="0" t="n">
        <v>3</v>
      </c>
      <c r="B4" s="0" t="s">
        <v>127</v>
      </c>
      <c r="C4" s="0" t="s">
        <v>128</v>
      </c>
      <c r="D4" s="0" t="s">
        <v>416</v>
      </c>
      <c r="E4" s="6" t="n">
        <v>0.0485532407407407</v>
      </c>
      <c r="F4" s="0" t="n">
        <v>200</v>
      </c>
      <c r="G4" s="0" t="n">
        <v>200</v>
      </c>
      <c r="H4" s="0" t="n">
        <v>12.75</v>
      </c>
      <c r="I4" s="0" t="s">
        <v>101</v>
      </c>
      <c r="J4" s="0" t="s">
        <v>130</v>
      </c>
      <c r="K4" s="5" t="n">
        <v>45856</v>
      </c>
      <c r="L4" s="0" t="n">
        <v>11</v>
      </c>
    </row>
    <row r="5" customFormat="false" ht="15" hidden="false" customHeight="false" outlineLevel="0" collapsed="false">
      <c r="A5" s="0" t="n">
        <v>4</v>
      </c>
      <c r="B5" s="0" t="s">
        <v>103</v>
      </c>
      <c r="C5" s="0" t="s">
        <v>104</v>
      </c>
      <c r="D5" s="0" t="s">
        <v>417</v>
      </c>
      <c r="E5" s="6" t="n">
        <v>0.0493865740740741</v>
      </c>
      <c r="F5" s="0" t="n">
        <v>200</v>
      </c>
      <c r="G5" s="0" t="n">
        <v>200</v>
      </c>
      <c r="H5" s="0" t="n">
        <v>12.39</v>
      </c>
      <c r="I5" s="0" t="s">
        <v>87</v>
      </c>
      <c r="J5" s="0" t="s">
        <v>106</v>
      </c>
      <c r="K5" s="5" t="n">
        <v>45862</v>
      </c>
      <c r="L5" s="0" t="n">
        <v>29</v>
      </c>
    </row>
    <row r="6" customFormat="false" ht="15" hidden="false" customHeight="false" outlineLevel="0" collapsed="false">
      <c r="A6" s="0" t="n">
        <v>5</v>
      </c>
      <c r="B6" s="0" t="s">
        <v>99</v>
      </c>
      <c r="C6" s="0" t="s">
        <v>100</v>
      </c>
      <c r="D6" s="0" t="s">
        <v>418</v>
      </c>
      <c r="E6" s="6" t="n">
        <v>0.0497453703703704</v>
      </c>
      <c r="F6" s="0" t="n">
        <v>200</v>
      </c>
      <c r="G6" s="0" t="n">
        <v>200</v>
      </c>
      <c r="H6" s="0" t="n">
        <v>12.43</v>
      </c>
      <c r="I6" s="0" t="s">
        <v>125</v>
      </c>
      <c r="J6" s="0" t="s">
        <v>102</v>
      </c>
      <c r="K6" s="5" t="n">
        <v>45831</v>
      </c>
      <c r="L6" s="0" t="n">
        <v>13</v>
      </c>
    </row>
    <row r="7" customFormat="false" ht="15" hidden="false" customHeight="false" outlineLevel="0" collapsed="false">
      <c r="A7" s="0" t="n">
        <v>6</v>
      </c>
      <c r="B7" s="0" t="s">
        <v>119</v>
      </c>
      <c r="C7" s="0" t="s">
        <v>120</v>
      </c>
      <c r="D7" s="0" t="s">
        <v>419</v>
      </c>
      <c r="E7" s="6" t="n">
        <v>0.0530439814814815</v>
      </c>
      <c r="F7" s="0" t="n">
        <v>200</v>
      </c>
      <c r="G7" s="0" t="n">
        <v>200</v>
      </c>
      <c r="H7" s="0" t="n">
        <v>12.11</v>
      </c>
      <c r="I7" s="0" t="s">
        <v>92</v>
      </c>
      <c r="J7" s="0" t="s">
        <v>122</v>
      </c>
      <c r="K7" s="5" t="n">
        <v>45866</v>
      </c>
      <c r="L7" s="0" t="n">
        <v>9</v>
      </c>
    </row>
    <row r="8" customFormat="false" ht="15" hidden="false" customHeight="false" outlineLevel="0" collapsed="false">
      <c r="A8" s="0" t="n">
        <v>7</v>
      </c>
      <c r="B8" s="0" t="s">
        <v>119</v>
      </c>
      <c r="C8" s="0" t="s">
        <v>120</v>
      </c>
      <c r="D8" s="0" t="s">
        <v>420</v>
      </c>
      <c r="E8" s="6" t="n">
        <v>0.0529976851851852</v>
      </c>
      <c r="F8" s="0" t="n">
        <v>180</v>
      </c>
      <c r="G8" s="0" t="n">
        <v>180</v>
      </c>
      <c r="H8" s="0" t="n">
        <v>12.07</v>
      </c>
      <c r="I8" s="0" t="s">
        <v>95</v>
      </c>
      <c r="J8" s="0" t="s">
        <v>152</v>
      </c>
      <c r="K8" s="5" t="n">
        <v>45860</v>
      </c>
      <c r="L8" s="0" t="n">
        <v>18</v>
      </c>
    </row>
    <row r="9" customFormat="false" ht="15" hidden="false" customHeight="false" outlineLevel="0" collapsed="false">
      <c r="A9" s="0" t="n">
        <v>8</v>
      </c>
      <c r="B9" s="0" t="s">
        <v>135</v>
      </c>
      <c r="C9" s="0" t="s">
        <v>136</v>
      </c>
      <c r="D9" s="0" t="s">
        <v>420</v>
      </c>
      <c r="E9" s="6" t="n">
        <v>0.0530324074074074</v>
      </c>
      <c r="F9" s="0" t="n">
        <v>180</v>
      </c>
      <c r="G9" s="0" t="n">
        <v>180</v>
      </c>
      <c r="H9" s="0" t="n">
        <v>11.95</v>
      </c>
      <c r="I9" s="0" t="s">
        <v>97</v>
      </c>
      <c r="J9" s="0" t="s">
        <v>139</v>
      </c>
      <c r="K9" s="5" t="n">
        <v>45860</v>
      </c>
      <c r="L9" s="0" t="n">
        <v>19</v>
      </c>
    </row>
    <row r="10" customFormat="false" ht="15" hidden="false" customHeight="false" outlineLevel="0" collapsed="false">
      <c r="A10" s="0" t="n">
        <v>9</v>
      </c>
      <c r="B10" s="0" t="s">
        <v>89</v>
      </c>
      <c r="C10" s="0" t="s">
        <v>90</v>
      </c>
      <c r="D10" s="0" t="s">
        <v>421</v>
      </c>
      <c r="E10" s="6" t="n">
        <v>0.0532291666666667</v>
      </c>
      <c r="F10" s="0" t="n">
        <v>180</v>
      </c>
      <c r="G10" s="0" t="n">
        <v>180</v>
      </c>
      <c r="H10" s="0" t="n">
        <v>10.41</v>
      </c>
      <c r="I10" s="0" t="s">
        <v>105</v>
      </c>
      <c r="J10" s="0" t="s">
        <v>93</v>
      </c>
      <c r="K10" s="5" t="n">
        <v>45848</v>
      </c>
      <c r="L10" s="0" t="n">
        <v>26</v>
      </c>
    </row>
    <row r="11" customFormat="false" ht="15" hidden="false" customHeight="false" outlineLevel="0" collapsed="false">
      <c r="A11" s="0" t="n">
        <v>10</v>
      </c>
      <c r="B11" s="0" t="s">
        <v>123</v>
      </c>
      <c r="C11" s="0" t="s">
        <v>124</v>
      </c>
      <c r="D11" s="0" t="s">
        <v>421</v>
      </c>
      <c r="E11" s="6" t="n">
        <v>0.0541319444444445</v>
      </c>
      <c r="F11" s="0" t="n">
        <v>180</v>
      </c>
      <c r="G11" s="0" t="n">
        <v>180</v>
      </c>
      <c r="H11" s="0" t="n">
        <v>10.47</v>
      </c>
      <c r="I11" s="0" t="s">
        <v>129</v>
      </c>
      <c r="J11" s="0" t="s">
        <v>126</v>
      </c>
      <c r="K11" s="5" t="n">
        <v>45848</v>
      </c>
      <c r="L11" s="0" t="n">
        <v>6</v>
      </c>
    </row>
    <row r="12" customFormat="false" ht="15" hidden="false" customHeight="false" outlineLevel="0" collapsed="false">
      <c r="A12" s="0" t="n">
        <v>11</v>
      </c>
      <c r="B12" s="0" t="s">
        <v>131</v>
      </c>
      <c r="C12" s="0" t="s">
        <v>72</v>
      </c>
      <c r="D12" s="0" t="s">
        <v>422</v>
      </c>
      <c r="E12" s="6" t="n">
        <v>0.0566782407407407</v>
      </c>
      <c r="F12" s="0" t="n">
        <v>200</v>
      </c>
      <c r="G12" s="0" t="n">
        <v>180</v>
      </c>
      <c r="H12" s="0" t="n">
        <v>11.93</v>
      </c>
      <c r="I12" s="0" t="s">
        <v>110</v>
      </c>
      <c r="J12" s="0" t="s">
        <v>111</v>
      </c>
      <c r="K12" s="5" t="n">
        <v>45865</v>
      </c>
      <c r="L12" s="0" t="n">
        <v>35</v>
      </c>
    </row>
    <row r="13" customFormat="false" ht="15" hidden="false" customHeight="false" outlineLevel="0" collapsed="false">
      <c r="A13" s="0" t="n">
        <v>12</v>
      </c>
      <c r="B13" s="0" t="s">
        <v>123</v>
      </c>
      <c r="C13" s="0" t="s">
        <v>124</v>
      </c>
      <c r="D13" s="0" t="s">
        <v>423</v>
      </c>
      <c r="E13" s="6" t="n">
        <v>0.0526273148148148</v>
      </c>
      <c r="F13" s="0" t="n">
        <v>170</v>
      </c>
      <c r="G13" s="0" t="n">
        <v>170</v>
      </c>
      <c r="H13" s="0" t="n">
        <v>12.28</v>
      </c>
      <c r="I13" s="0" t="s">
        <v>180</v>
      </c>
      <c r="J13" s="0" t="s">
        <v>181</v>
      </c>
      <c r="K13" s="5" t="n">
        <v>45819</v>
      </c>
      <c r="L13" s="0" t="n">
        <v>27</v>
      </c>
    </row>
    <row r="14" customFormat="false" ht="15" hidden="false" customHeight="false" outlineLevel="0" collapsed="false">
      <c r="A14" s="0" t="n">
        <v>13</v>
      </c>
      <c r="B14" s="0" t="s">
        <v>127</v>
      </c>
      <c r="C14" s="0" t="s">
        <v>128</v>
      </c>
      <c r="D14" s="0" t="s">
        <v>423</v>
      </c>
      <c r="E14" s="6" t="n">
        <v>0.052662037037037</v>
      </c>
      <c r="F14" s="0" t="n">
        <v>170</v>
      </c>
      <c r="G14" s="0" t="n">
        <v>170</v>
      </c>
      <c r="H14" s="0" t="n">
        <v>13.19</v>
      </c>
      <c r="I14" s="0" t="s">
        <v>188</v>
      </c>
      <c r="J14" s="0" t="s">
        <v>214</v>
      </c>
      <c r="K14" s="5" t="n">
        <v>45819</v>
      </c>
      <c r="L14" s="0" t="n">
        <v>37</v>
      </c>
    </row>
    <row r="15" customFormat="false" ht="15" hidden="false" customHeight="false" outlineLevel="0" collapsed="false">
      <c r="A15" s="0" t="n">
        <v>14</v>
      </c>
      <c r="B15" s="0" t="s">
        <v>400</v>
      </c>
      <c r="C15" s="0" t="s">
        <v>401</v>
      </c>
      <c r="D15" s="0" t="s">
        <v>424</v>
      </c>
      <c r="E15" s="6" t="n">
        <v>0.0547453703703704</v>
      </c>
      <c r="F15" s="0" t="n">
        <v>170</v>
      </c>
      <c r="G15" s="0" t="n">
        <v>170</v>
      </c>
      <c r="H15" s="0" t="n">
        <v>11.56</v>
      </c>
      <c r="I15" s="0" t="s">
        <v>211</v>
      </c>
      <c r="J15" s="0" t="s">
        <v>248</v>
      </c>
      <c r="K15" s="5" t="n">
        <v>45856</v>
      </c>
      <c r="L15" s="0" t="n">
        <v>8</v>
      </c>
    </row>
    <row r="16" customFormat="false" ht="15" hidden="false" customHeight="false" outlineLevel="0" collapsed="false">
      <c r="A16" s="0" t="n">
        <v>15</v>
      </c>
      <c r="B16" s="0" t="s">
        <v>177</v>
      </c>
      <c r="C16" s="0" t="s">
        <v>406</v>
      </c>
      <c r="D16" s="0" t="s">
        <v>424</v>
      </c>
      <c r="E16" s="6" t="n">
        <v>0.0549189814814815</v>
      </c>
      <c r="F16" s="0" t="n">
        <v>170</v>
      </c>
      <c r="G16" s="0" t="n">
        <v>170</v>
      </c>
      <c r="H16" s="0" t="n">
        <v>11.61</v>
      </c>
      <c r="I16" s="0" t="s">
        <v>213</v>
      </c>
      <c r="J16" s="0" t="s">
        <v>318</v>
      </c>
      <c r="K16" s="5" t="n">
        <v>45856</v>
      </c>
      <c r="L16" s="0" t="n">
        <v>2</v>
      </c>
    </row>
    <row r="17" customFormat="false" ht="15" hidden="false" customHeight="false" outlineLevel="0" collapsed="false">
      <c r="A17" s="0" t="n">
        <v>16</v>
      </c>
      <c r="B17" s="0" t="s">
        <v>169</v>
      </c>
      <c r="C17" s="0" t="s">
        <v>170</v>
      </c>
      <c r="D17" s="0" t="s">
        <v>425</v>
      </c>
      <c r="E17" s="6" t="n">
        <v>0.0525462962962963</v>
      </c>
      <c r="F17" s="0" t="n">
        <v>160</v>
      </c>
      <c r="G17" s="0" t="n">
        <v>160</v>
      </c>
      <c r="H17" s="0" t="n">
        <v>9.62</v>
      </c>
      <c r="I17" s="0" t="s">
        <v>117</v>
      </c>
      <c r="J17" s="0" t="s">
        <v>158</v>
      </c>
      <c r="K17" s="5" t="n">
        <v>45837</v>
      </c>
      <c r="L17" s="0" t="n">
        <v>4</v>
      </c>
    </row>
    <row r="18" customFormat="false" ht="15" hidden="false" customHeight="false" outlineLevel="0" collapsed="false">
      <c r="A18" s="0" t="n">
        <v>17</v>
      </c>
      <c r="B18" s="0" t="s">
        <v>107</v>
      </c>
      <c r="C18" s="0" t="s">
        <v>108</v>
      </c>
      <c r="D18" s="0" t="s">
        <v>426</v>
      </c>
      <c r="E18" s="4" t="n">
        <v>2.43402777777778</v>
      </c>
      <c r="F18" s="0" t="n">
        <v>150</v>
      </c>
      <c r="G18" s="0" t="n">
        <v>150</v>
      </c>
      <c r="H18" s="0" t="n">
        <v>9.52</v>
      </c>
      <c r="I18" s="0" t="s">
        <v>121</v>
      </c>
      <c r="J18" s="0" t="s">
        <v>134</v>
      </c>
      <c r="K18" s="5" t="n">
        <v>45843</v>
      </c>
      <c r="L18" s="0" t="n">
        <v>15</v>
      </c>
    </row>
    <row r="19" customFormat="false" ht="15" hidden="false" customHeight="false" outlineLevel="0" collapsed="false">
      <c r="A19" s="0" t="n">
        <v>18</v>
      </c>
      <c r="B19" s="0" t="s">
        <v>135</v>
      </c>
      <c r="C19" s="0" t="s">
        <v>136</v>
      </c>
      <c r="D19" s="0" t="s">
        <v>426</v>
      </c>
      <c r="E19" s="6" t="n">
        <v>0.0428587962962963</v>
      </c>
      <c r="F19" s="0" t="n">
        <v>150</v>
      </c>
      <c r="G19" s="0" t="n">
        <v>150</v>
      </c>
      <c r="H19" s="0" t="n">
        <v>9.35</v>
      </c>
      <c r="I19" s="0" t="s">
        <v>133</v>
      </c>
      <c r="J19" s="0" t="s">
        <v>173</v>
      </c>
      <c r="K19" s="5" t="n">
        <v>45827</v>
      </c>
      <c r="L19" s="0" t="n">
        <v>23</v>
      </c>
    </row>
    <row r="20" customFormat="false" ht="15" hidden="false" customHeight="false" outlineLevel="0" collapsed="false">
      <c r="A20" s="0" t="n">
        <v>19</v>
      </c>
      <c r="B20" s="0" t="s">
        <v>119</v>
      </c>
      <c r="C20" s="0" t="s">
        <v>120</v>
      </c>
      <c r="D20" s="0" t="s">
        <v>426</v>
      </c>
      <c r="E20" s="6" t="n">
        <v>0.0428819444444444</v>
      </c>
      <c r="F20" s="0" t="n">
        <v>150</v>
      </c>
      <c r="G20" s="0" t="n">
        <v>150</v>
      </c>
      <c r="H20" s="0" t="n">
        <v>9.56</v>
      </c>
      <c r="I20" s="0" t="s">
        <v>138</v>
      </c>
      <c r="J20" s="0" t="s">
        <v>196</v>
      </c>
      <c r="K20" s="5" t="n">
        <v>45827</v>
      </c>
      <c r="L20" s="0" t="n">
        <v>16</v>
      </c>
    </row>
    <row r="21" customFormat="false" ht="15" hidden="false" customHeight="false" outlineLevel="0" collapsed="false">
      <c r="A21" s="0" t="n">
        <v>20</v>
      </c>
      <c r="B21" s="0" t="s">
        <v>123</v>
      </c>
      <c r="C21" s="0" t="s">
        <v>124</v>
      </c>
      <c r="D21" s="0" t="s">
        <v>427</v>
      </c>
      <c r="E21" s="6" t="n">
        <v>0.0534490740740741</v>
      </c>
      <c r="F21" s="0" t="n">
        <v>150</v>
      </c>
      <c r="G21" s="0" t="n">
        <v>150</v>
      </c>
      <c r="H21" s="0" t="n">
        <v>10.61</v>
      </c>
      <c r="I21" s="0" t="s">
        <v>215</v>
      </c>
      <c r="J21" s="0" t="s">
        <v>212</v>
      </c>
      <c r="K21" s="5" t="n">
        <v>45817</v>
      </c>
      <c r="L21" s="0" t="n">
        <v>34</v>
      </c>
    </row>
    <row r="22" customFormat="false" ht="15" hidden="false" customHeight="false" outlineLevel="0" collapsed="false">
      <c r="A22" s="0" t="n">
        <v>21</v>
      </c>
      <c r="B22" s="0" t="s">
        <v>190</v>
      </c>
      <c r="C22" s="0" t="s">
        <v>191</v>
      </c>
      <c r="D22" s="0" t="s">
        <v>428</v>
      </c>
      <c r="E22" s="6" t="n">
        <v>0.0448263888888889</v>
      </c>
      <c r="F22" s="0" t="n">
        <v>130</v>
      </c>
      <c r="G22" s="0" t="n">
        <v>130</v>
      </c>
      <c r="H22" s="0" t="n">
        <v>8.6</v>
      </c>
      <c r="I22" s="0" t="s">
        <v>140</v>
      </c>
      <c r="J22" s="0" t="s">
        <v>176</v>
      </c>
      <c r="K22" s="5" t="n">
        <v>45855</v>
      </c>
      <c r="L22" s="0" t="n">
        <v>17</v>
      </c>
    </row>
    <row r="23" customFormat="false" ht="15" hidden="false" customHeight="false" outlineLevel="0" collapsed="false">
      <c r="A23" s="0" t="n">
        <v>22</v>
      </c>
      <c r="B23" s="0" t="s">
        <v>194</v>
      </c>
      <c r="C23" s="0" t="s">
        <v>119</v>
      </c>
      <c r="D23" s="0" t="s">
        <v>428</v>
      </c>
      <c r="E23" s="6" t="n">
        <v>0.044837962962963</v>
      </c>
      <c r="F23" s="0" t="n">
        <v>130</v>
      </c>
      <c r="G23" s="0" t="n">
        <v>130</v>
      </c>
      <c r="H23" s="0" t="n">
        <v>8.57</v>
      </c>
      <c r="I23" s="0" t="s">
        <v>142</v>
      </c>
      <c r="J23" s="0" t="s">
        <v>203</v>
      </c>
      <c r="K23" s="5" t="n">
        <v>45855</v>
      </c>
      <c r="L23" s="0" t="n">
        <v>25</v>
      </c>
    </row>
    <row r="24" customFormat="false" ht="15" hidden="false" customHeight="false" outlineLevel="0" collapsed="false">
      <c r="A24" s="0" t="n">
        <v>23</v>
      </c>
      <c r="B24" s="0" t="s">
        <v>169</v>
      </c>
      <c r="C24" s="0" t="s">
        <v>170</v>
      </c>
      <c r="D24" s="0" t="s">
        <v>429</v>
      </c>
      <c r="E24" s="6" t="n">
        <v>0.0462384259259259</v>
      </c>
      <c r="F24" s="0" t="n">
        <v>130</v>
      </c>
      <c r="G24" s="0" t="n">
        <v>130</v>
      </c>
      <c r="H24" s="0" t="n">
        <v>8.1</v>
      </c>
      <c r="I24" s="0" t="s">
        <v>144</v>
      </c>
      <c r="J24" s="0" t="s">
        <v>193</v>
      </c>
      <c r="K24" s="5" t="n">
        <v>45824</v>
      </c>
      <c r="L24" s="0" t="n">
        <v>10</v>
      </c>
    </row>
    <row r="25" customFormat="false" ht="15" hidden="false" customHeight="false" outlineLevel="0" collapsed="false">
      <c r="A25" s="0" t="n">
        <v>24</v>
      </c>
      <c r="B25" s="0" t="s">
        <v>378</v>
      </c>
      <c r="C25" s="0" t="s">
        <v>379</v>
      </c>
      <c r="D25" s="0" t="s">
        <v>430</v>
      </c>
      <c r="E25" s="6" t="n">
        <v>0.0487731481481482</v>
      </c>
      <c r="F25" s="0" t="n">
        <v>120</v>
      </c>
      <c r="G25" s="0" t="n">
        <v>120</v>
      </c>
      <c r="H25" s="0" t="n">
        <v>9.76</v>
      </c>
      <c r="I25" s="0" t="s">
        <v>237</v>
      </c>
      <c r="J25" s="0" t="s">
        <v>216</v>
      </c>
      <c r="K25" s="5" t="n">
        <v>45863</v>
      </c>
      <c r="L25" s="0" t="n">
        <v>3</v>
      </c>
    </row>
    <row r="26" customFormat="false" ht="15" hidden="false" customHeight="false" outlineLevel="0" collapsed="false">
      <c r="A26" s="0" t="n">
        <v>25</v>
      </c>
      <c r="B26" s="0" t="s">
        <v>383</v>
      </c>
      <c r="C26" s="0" t="s">
        <v>384</v>
      </c>
      <c r="D26" s="0" t="s">
        <v>430</v>
      </c>
      <c r="E26" s="6" t="n">
        <v>0.0487731481481482</v>
      </c>
      <c r="F26" s="0" t="n">
        <v>120</v>
      </c>
      <c r="G26" s="0" t="n">
        <v>120</v>
      </c>
      <c r="H26" s="0" t="n">
        <v>9.76</v>
      </c>
      <c r="I26" s="0" t="s">
        <v>217</v>
      </c>
      <c r="J26" s="0" t="s">
        <v>386</v>
      </c>
      <c r="K26" s="5" t="n">
        <v>45863</v>
      </c>
      <c r="L26" s="0" t="n">
        <v>7</v>
      </c>
    </row>
    <row r="27" customFormat="false" ht="15" hidden="false" customHeight="false" outlineLevel="0" collapsed="false">
      <c r="A27" s="0" t="n">
        <v>26</v>
      </c>
      <c r="B27" s="0" t="s">
        <v>162</v>
      </c>
      <c r="C27" s="0" t="s">
        <v>72</v>
      </c>
      <c r="D27" s="0" t="s">
        <v>430</v>
      </c>
      <c r="E27" s="6" t="n">
        <v>0.0487731481481482</v>
      </c>
      <c r="F27" s="0" t="n">
        <v>120</v>
      </c>
      <c r="G27" s="0" t="n">
        <v>120</v>
      </c>
      <c r="H27" s="0" t="n">
        <v>9.76</v>
      </c>
      <c r="I27" s="0" t="s">
        <v>235</v>
      </c>
      <c r="J27" s="0" t="s">
        <v>238</v>
      </c>
      <c r="K27" s="5" t="n">
        <v>45863</v>
      </c>
      <c r="L27" s="0" t="n">
        <v>20</v>
      </c>
    </row>
    <row r="28" customFormat="false" ht="15" hidden="false" customHeight="false" outlineLevel="0" collapsed="false">
      <c r="A28" s="0" t="n">
        <v>27</v>
      </c>
      <c r="B28" s="0" t="s">
        <v>190</v>
      </c>
      <c r="C28" s="0" t="s">
        <v>191</v>
      </c>
      <c r="D28" s="0" t="s">
        <v>431</v>
      </c>
      <c r="E28" s="4" t="n">
        <v>2.40138888888889</v>
      </c>
      <c r="F28" s="0" t="n">
        <v>100</v>
      </c>
      <c r="G28" s="0" t="n">
        <v>100</v>
      </c>
      <c r="H28" s="0" t="n">
        <v>7.7</v>
      </c>
      <c r="I28" s="0" t="s">
        <v>149</v>
      </c>
      <c r="J28" s="0" t="s">
        <v>206</v>
      </c>
      <c r="K28" s="5" t="n">
        <v>45827</v>
      </c>
      <c r="L28" s="0" t="n">
        <v>12</v>
      </c>
    </row>
    <row r="29" customFormat="false" ht="15" hidden="false" customHeight="false" outlineLevel="0" collapsed="false">
      <c r="A29" s="0" t="n">
        <v>28</v>
      </c>
      <c r="B29" s="0" t="s">
        <v>194</v>
      </c>
      <c r="C29" s="0" t="s">
        <v>119</v>
      </c>
      <c r="D29" s="0" t="s">
        <v>432</v>
      </c>
      <c r="E29" s="4" t="n">
        <v>2.49166666666667</v>
      </c>
      <c r="F29" s="0" t="n">
        <v>100</v>
      </c>
      <c r="G29" s="0" t="n">
        <v>100</v>
      </c>
      <c r="H29" s="0" t="n">
        <v>7.72</v>
      </c>
      <c r="I29" s="0" t="s">
        <v>151</v>
      </c>
      <c r="J29" s="0" t="s">
        <v>229</v>
      </c>
      <c r="K29" s="5" t="n">
        <v>45827</v>
      </c>
      <c r="L29" s="0" t="n">
        <v>30</v>
      </c>
    </row>
    <row r="30" customFormat="false" ht="15" hidden="false" customHeight="false" outlineLevel="0" collapsed="false">
      <c r="A30" s="0" t="n">
        <v>29</v>
      </c>
      <c r="B30" s="0" t="s">
        <v>146</v>
      </c>
      <c r="C30" s="0" t="s">
        <v>147</v>
      </c>
      <c r="D30" s="0" t="s">
        <v>433</v>
      </c>
      <c r="E30" s="6" t="n">
        <v>0.0578125</v>
      </c>
      <c r="F30" s="0" t="n">
        <v>120</v>
      </c>
      <c r="G30" s="0" t="n">
        <v>80</v>
      </c>
      <c r="H30" s="0" t="n">
        <v>11.12</v>
      </c>
      <c r="I30" s="0" t="s">
        <v>154</v>
      </c>
      <c r="J30" s="0" t="s">
        <v>118</v>
      </c>
      <c r="K30" s="5" t="n">
        <v>45859</v>
      </c>
      <c r="L30" s="0" t="n">
        <v>22</v>
      </c>
    </row>
    <row r="31" customFormat="false" ht="15" hidden="false" customHeight="false" outlineLevel="0" collapsed="false">
      <c r="A31" s="0" t="n">
        <v>30</v>
      </c>
      <c r="B31" s="0" t="s">
        <v>197</v>
      </c>
      <c r="C31" s="0" t="s">
        <v>198</v>
      </c>
      <c r="D31" s="0" t="s">
        <v>434</v>
      </c>
      <c r="E31" s="4" t="n">
        <v>2.36388888888889</v>
      </c>
      <c r="F31" s="0" t="n">
        <v>70</v>
      </c>
      <c r="G31" s="0" t="n">
        <v>70</v>
      </c>
      <c r="H31" s="0" t="n">
        <v>5.66</v>
      </c>
      <c r="I31" s="0" t="s">
        <v>157</v>
      </c>
      <c r="J31" s="0" t="s">
        <v>200</v>
      </c>
      <c r="K31" s="5" t="n">
        <v>45860</v>
      </c>
      <c r="L31" s="0" t="n">
        <v>24</v>
      </c>
    </row>
    <row r="32" customFormat="false" ht="15" hidden="false" customHeight="false" outlineLevel="0" collapsed="false">
      <c r="A32" s="0" t="n">
        <v>31</v>
      </c>
      <c r="B32" s="0" t="s">
        <v>103</v>
      </c>
      <c r="C32" s="0" t="s">
        <v>104</v>
      </c>
      <c r="D32" s="0" t="s">
        <v>435</v>
      </c>
      <c r="E32" s="6" t="n">
        <v>0.0650810185185185</v>
      </c>
      <c r="F32" s="0" t="n">
        <v>110</v>
      </c>
      <c r="G32" s="0" t="n">
        <v>-30</v>
      </c>
      <c r="H32" s="0" t="n">
        <v>10.56</v>
      </c>
      <c r="I32" s="0" t="s">
        <v>160</v>
      </c>
      <c r="J32" s="0" t="s">
        <v>145</v>
      </c>
      <c r="K32" s="5" t="n">
        <v>45848</v>
      </c>
      <c r="L32" s="0" t="n">
        <v>28</v>
      </c>
    </row>
    <row r="33" customFormat="false" ht="15" hidden="false" customHeight="false" outlineLevel="0" collapsed="false">
      <c r="A33" s="0" t="n">
        <v>32</v>
      </c>
      <c r="B33" s="0" t="s">
        <v>99</v>
      </c>
      <c r="C33" s="0" t="s">
        <v>100</v>
      </c>
      <c r="D33" s="0" t="s">
        <v>436</v>
      </c>
      <c r="E33" s="6" t="n">
        <v>0.0627314814814815</v>
      </c>
      <c r="F33" s="0" t="n">
        <v>30</v>
      </c>
      <c r="G33" s="0" t="n">
        <v>-80</v>
      </c>
      <c r="H33" s="0" t="n">
        <v>4.31</v>
      </c>
      <c r="I33" s="0" t="s">
        <v>242</v>
      </c>
      <c r="J33" s="0" t="s">
        <v>189</v>
      </c>
      <c r="K33" s="5" t="n">
        <v>45809</v>
      </c>
      <c r="L33" s="0" t="n">
        <v>36</v>
      </c>
    </row>
    <row r="34" customFormat="false" ht="15" hidden="false" customHeight="false" outlineLevel="0" collapsed="false">
      <c r="A34" s="0" t="n">
        <v>33</v>
      </c>
      <c r="B34" s="0" t="s">
        <v>127</v>
      </c>
      <c r="C34" s="0" t="s">
        <v>128</v>
      </c>
      <c r="D34" s="0" t="s">
        <v>437</v>
      </c>
      <c r="E34" s="6" t="n">
        <v>0.0950578703703704</v>
      </c>
      <c r="F34" s="0" t="n">
        <v>120</v>
      </c>
      <c r="G34" s="0" t="n">
        <v>-450</v>
      </c>
      <c r="H34" s="0" t="n">
        <v>13.54</v>
      </c>
      <c r="I34" s="0" t="s">
        <v>247</v>
      </c>
      <c r="J34" s="0" t="s">
        <v>236</v>
      </c>
      <c r="K34" s="5" t="n">
        <v>45813</v>
      </c>
      <c r="L34" s="0" t="n">
        <v>21</v>
      </c>
    </row>
    <row r="35" customFormat="false" ht="15" hidden="false" customHeight="false" outlineLevel="0" collapsed="false">
      <c r="A35" s="0" t="n">
        <v>34</v>
      </c>
      <c r="B35" s="0" t="s">
        <v>123</v>
      </c>
      <c r="C35" s="0" t="s">
        <v>124</v>
      </c>
      <c r="D35" s="0" t="s">
        <v>437</v>
      </c>
      <c r="E35" s="6" t="n">
        <v>0.0951273148148148</v>
      </c>
      <c r="F35" s="0" t="n">
        <v>120</v>
      </c>
      <c r="G35" s="0" t="n">
        <v>-450</v>
      </c>
      <c r="H35" s="0" t="n">
        <v>12.12</v>
      </c>
      <c r="I35" s="0" t="s">
        <v>309</v>
      </c>
      <c r="J35" s="0" t="s">
        <v>313</v>
      </c>
      <c r="K35" s="5" t="n">
        <v>45813</v>
      </c>
      <c r="L35" s="0" t="n">
        <v>32</v>
      </c>
    </row>
    <row r="36" customFormat="false" ht="15" hidden="false" customHeight="false" outlineLevel="0" collapsed="false">
      <c r="A36" s="0" t="n">
        <v>35</v>
      </c>
      <c r="B36" s="0" t="s">
        <v>438</v>
      </c>
      <c r="C36" s="0" t="s">
        <v>439</v>
      </c>
      <c r="D36" s="0" t="s">
        <v>440</v>
      </c>
      <c r="E36" s="6" t="n">
        <v>0.0951736111111111</v>
      </c>
      <c r="F36" s="0" t="n">
        <v>120</v>
      </c>
      <c r="G36" s="0" t="n">
        <v>-460</v>
      </c>
      <c r="H36" s="0" t="n">
        <v>9.44</v>
      </c>
      <c r="I36" s="0" t="s">
        <v>312</v>
      </c>
      <c r="J36" s="0" t="s">
        <v>330</v>
      </c>
      <c r="K36" s="5" t="n">
        <v>45813</v>
      </c>
      <c r="L36" s="0" t="n">
        <v>33</v>
      </c>
    </row>
    <row r="37" customFormat="false" ht="15" hidden="false" customHeight="false" outlineLevel="0" collapsed="false">
      <c r="A37" s="0" t="n">
        <v>36</v>
      </c>
      <c r="B37" s="0" t="s">
        <v>99</v>
      </c>
      <c r="C37" s="0" t="s">
        <v>100</v>
      </c>
      <c r="D37" s="0" t="s">
        <v>441</v>
      </c>
      <c r="E37" s="6" t="n">
        <v>0.101851851851852</v>
      </c>
      <c r="F37" s="0" t="n">
        <v>170</v>
      </c>
      <c r="G37" s="0" t="n">
        <v>-500</v>
      </c>
      <c r="H37" s="0" t="n">
        <v>11.96</v>
      </c>
      <c r="I37" s="0" t="s">
        <v>317</v>
      </c>
      <c r="J37" s="0" t="s">
        <v>218</v>
      </c>
      <c r="K37" s="5" t="n">
        <v>45824</v>
      </c>
      <c r="L37" s="0" t="n">
        <v>38</v>
      </c>
    </row>
    <row r="38" customFormat="false" ht="15" hidden="false" customHeight="false" outlineLevel="0" collapsed="false">
      <c r="A38" s="0" t="n">
        <v>37</v>
      </c>
      <c r="B38" s="0" t="s">
        <v>99</v>
      </c>
      <c r="C38" s="0" t="s">
        <v>100</v>
      </c>
      <c r="D38" s="0" t="s">
        <v>442</v>
      </c>
      <c r="E38" s="6" t="n">
        <v>0.103020833333333</v>
      </c>
      <c r="F38" s="0" t="n">
        <v>50</v>
      </c>
      <c r="G38" s="0" t="n">
        <v>-640</v>
      </c>
      <c r="H38" s="0" t="n">
        <v>7.01</v>
      </c>
      <c r="I38" s="0" t="s">
        <v>314</v>
      </c>
      <c r="J38" s="0" t="s">
        <v>243</v>
      </c>
      <c r="K38" s="5" t="n">
        <v>45824</v>
      </c>
      <c r="L38" s="0" t="n">
        <v>31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L20" activeCellId="1" sqref="A:A L20"/>
    </sheetView>
  </sheetViews>
  <sheetFormatPr defaultColWidth="9.14453125" defaultRowHeight="15" customHeight="true" zeroHeight="false" outlineLevelRow="0" outlineLevelCol="0"/>
  <cols>
    <col collapsed="false" customWidth="false" hidden="false" outlineLevel="0" max="10" min="1" style="8" width="9.14"/>
    <col collapsed="false" customWidth="true" hidden="false" outlineLevel="0" max="11" min="11" style="8" width="10.29"/>
    <col collapsed="false" customWidth="false" hidden="false" outlineLevel="0" max="16384" min="12" style="8" width="9.14"/>
  </cols>
  <sheetData>
    <row r="1" customFormat="false" ht="15" hidden="false" customHeight="false" outlineLevel="0" collapsed="false">
      <c r="A1" s="8" t="s">
        <v>59</v>
      </c>
      <c r="B1" s="8" t="s">
        <v>60</v>
      </c>
      <c r="C1" s="8" t="s">
        <v>61</v>
      </c>
      <c r="D1" s="8" t="s">
        <v>62</v>
      </c>
      <c r="E1" s="8" t="s">
        <v>63</v>
      </c>
      <c r="F1" s="8" t="s">
        <v>64</v>
      </c>
      <c r="G1" s="8" t="s">
        <v>65</v>
      </c>
      <c r="H1" s="8" t="s">
        <v>66</v>
      </c>
      <c r="I1" s="8" t="s">
        <v>67</v>
      </c>
      <c r="J1" s="8" t="s">
        <v>68</v>
      </c>
      <c r="K1" s="8" t="s">
        <v>69</v>
      </c>
      <c r="L1" s="8" t="s">
        <v>70</v>
      </c>
    </row>
    <row r="2" customFormat="false" ht="15" hidden="false" customHeight="false" outlineLevel="0" collapsed="false">
      <c r="A2" s="8" t="n">
        <v>1</v>
      </c>
      <c r="B2" s="8" t="s">
        <v>89</v>
      </c>
      <c r="C2" s="8" t="s">
        <v>90</v>
      </c>
      <c r="D2" s="8" t="s">
        <v>443</v>
      </c>
      <c r="E2" s="9" t="n">
        <v>0.0554398148148148</v>
      </c>
      <c r="F2" s="8" t="n">
        <v>210</v>
      </c>
      <c r="G2" s="8" t="n">
        <v>210</v>
      </c>
      <c r="H2" s="8" t="n">
        <v>14.01</v>
      </c>
      <c r="I2" s="8" t="s">
        <v>74</v>
      </c>
      <c r="J2" s="8" t="s">
        <v>84</v>
      </c>
      <c r="K2" s="10" t="n">
        <v>45938</v>
      </c>
      <c r="L2" s="8" t="n">
        <v>5</v>
      </c>
    </row>
    <row r="3" customFormat="false" ht="15" hidden="false" customHeight="false" outlineLevel="0" collapsed="false">
      <c r="A3" s="8" t="n">
        <v>2</v>
      </c>
      <c r="B3" s="8" t="s">
        <v>99</v>
      </c>
      <c r="C3" s="8" t="s">
        <v>100</v>
      </c>
      <c r="D3" s="8" t="s">
        <v>444</v>
      </c>
      <c r="E3" s="9" t="n">
        <v>0.0527430555555556</v>
      </c>
      <c r="F3" s="8" t="n">
        <v>200</v>
      </c>
      <c r="G3" s="8" t="n">
        <v>200</v>
      </c>
      <c r="H3" s="8" t="n">
        <v>11.7</v>
      </c>
      <c r="I3" s="8" t="s">
        <v>101</v>
      </c>
      <c r="J3" s="8" t="s">
        <v>102</v>
      </c>
      <c r="K3" s="10" t="n">
        <v>45985</v>
      </c>
      <c r="L3" s="8" t="n">
        <v>16</v>
      </c>
    </row>
    <row r="4" customFormat="false" ht="15" hidden="false" customHeight="false" outlineLevel="0" collapsed="false">
      <c r="A4" s="8" t="n">
        <v>3</v>
      </c>
      <c r="B4" s="8" t="s">
        <v>119</v>
      </c>
      <c r="C4" s="8" t="s">
        <v>120</v>
      </c>
      <c r="D4" s="8" t="s">
        <v>445</v>
      </c>
      <c r="E4" s="9" t="n">
        <v>0.0468171296296296</v>
      </c>
      <c r="F4" s="8" t="n">
        <v>180</v>
      </c>
      <c r="G4" s="8" t="n">
        <v>180</v>
      </c>
      <c r="H4" s="8" t="n">
        <v>9.58</v>
      </c>
      <c r="I4" s="8" t="s">
        <v>83</v>
      </c>
      <c r="J4" s="8" t="s">
        <v>122</v>
      </c>
      <c r="K4" s="10" t="n">
        <v>45959</v>
      </c>
      <c r="L4" s="8" t="n">
        <v>10</v>
      </c>
    </row>
    <row r="5" customFormat="false" ht="15" hidden="false" customHeight="false" outlineLevel="0" collapsed="false">
      <c r="A5" s="8" t="n">
        <v>4</v>
      </c>
      <c r="B5" s="8" t="s">
        <v>135</v>
      </c>
      <c r="C5" s="8" t="s">
        <v>136</v>
      </c>
      <c r="D5" s="8" t="s">
        <v>445</v>
      </c>
      <c r="E5" s="9" t="n">
        <v>0.0471064814814815</v>
      </c>
      <c r="F5" s="8" t="n">
        <v>180</v>
      </c>
      <c r="G5" s="8" t="n">
        <v>180</v>
      </c>
      <c r="H5" s="8" t="n">
        <v>9.63</v>
      </c>
      <c r="I5" s="8" t="s">
        <v>87</v>
      </c>
      <c r="J5" s="8" t="s">
        <v>139</v>
      </c>
      <c r="K5" s="10" t="n">
        <v>45959</v>
      </c>
      <c r="L5" s="8" t="n">
        <v>11</v>
      </c>
    </row>
    <row r="6" customFormat="false" ht="15" hidden="false" customHeight="false" outlineLevel="0" collapsed="false">
      <c r="A6" s="8" t="n">
        <v>5</v>
      </c>
      <c r="B6" s="8" t="s">
        <v>99</v>
      </c>
      <c r="C6" s="8" t="s">
        <v>100</v>
      </c>
      <c r="D6" s="8" t="s">
        <v>446</v>
      </c>
      <c r="E6" s="9" t="n">
        <v>0.0503472222222222</v>
      </c>
      <c r="F6" s="8" t="n">
        <v>180</v>
      </c>
      <c r="G6" s="8" t="n">
        <v>180</v>
      </c>
      <c r="H6" s="8" t="n">
        <v>10.19</v>
      </c>
      <c r="I6" s="8" t="s">
        <v>125</v>
      </c>
      <c r="J6" s="8" t="s">
        <v>189</v>
      </c>
      <c r="K6" s="10" t="n">
        <v>45978</v>
      </c>
      <c r="L6" s="8" t="n">
        <v>14</v>
      </c>
    </row>
    <row r="7" customFormat="false" ht="15" hidden="false" customHeight="false" outlineLevel="0" collapsed="false">
      <c r="A7" s="8" t="n">
        <v>6</v>
      </c>
      <c r="B7" s="8" t="s">
        <v>127</v>
      </c>
      <c r="C7" s="8" t="s">
        <v>128</v>
      </c>
      <c r="D7" s="8" t="s">
        <v>446</v>
      </c>
      <c r="E7" s="9" t="n">
        <v>0.0503819444444444</v>
      </c>
      <c r="F7" s="8" t="n">
        <v>180</v>
      </c>
      <c r="G7" s="8" t="n">
        <v>180</v>
      </c>
      <c r="H7" s="8" t="n">
        <v>10.31</v>
      </c>
      <c r="I7" s="8" t="s">
        <v>129</v>
      </c>
      <c r="J7" s="8" t="s">
        <v>130</v>
      </c>
      <c r="K7" s="10" t="n">
        <v>45978</v>
      </c>
      <c r="L7" s="8" t="n">
        <v>15</v>
      </c>
    </row>
    <row r="8" customFormat="false" ht="15" hidden="false" customHeight="false" outlineLevel="0" collapsed="false">
      <c r="A8" s="8" t="n">
        <v>7</v>
      </c>
      <c r="B8" s="8" t="s">
        <v>103</v>
      </c>
      <c r="C8" s="8" t="s">
        <v>104</v>
      </c>
      <c r="D8" s="8" t="s">
        <v>446</v>
      </c>
      <c r="E8" s="9" t="n">
        <v>0.0532175925925926</v>
      </c>
      <c r="F8" s="8" t="n">
        <v>180</v>
      </c>
      <c r="G8" s="8" t="n">
        <v>180</v>
      </c>
      <c r="H8" s="8" t="n">
        <v>11.31</v>
      </c>
      <c r="I8" s="8" t="s">
        <v>92</v>
      </c>
      <c r="J8" s="8" t="s">
        <v>106</v>
      </c>
      <c r="K8" s="10" t="n">
        <v>45941</v>
      </c>
      <c r="L8" s="8" t="n">
        <v>6</v>
      </c>
    </row>
    <row r="9" customFormat="false" ht="15" hidden="false" customHeight="false" outlineLevel="0" collapsed="false">
      <c r="A9" s="8" t="n">
        <v>8</v>
      </c>
      <c r="B9" s="8" t="s">
        <v>89</v>
      </c>
      <c r="C9" s="8" t="s">
        <v>90</v>
      </c>
      <c r="D9" s="8" t="s">
        <v>447</v>
      </c>
      <c r="E9" s="9" t="n">
        <v>0.0506597222222222</v>
      </c>
      <c r="F9" s="8" t="n">
        <v>160</v>
      </c>
      <c r="G9" s="8" t="n">
        <v>160</v>
      </c>
      <c r="H9" s="8" t="n">
        <v>11.37</v>
      </c>
      <c r="I9" s="8" t="s">
        <v>95</v>
      </c>
      <c r="J9" s="8" t="s">
        <v>93</v>
      </c>
      <c r="K9" s="10" t="n">
        <v>45935</v>
      </c>
      <c r="L9" s="8" t="n">
        <v>2</v>
      </c>
    </row>
    <row r="10" customFormat="false" ht="15" hidden="false" customHeight="false" outlineLevel="0" collapsed="false">
      <c r="A10" s="8" t="n">
        <v>9</v>
      </c>
      <c r="B10" s="8" t="s">
        <v>135</v>
      </c>
      <c r="C10" s="8" t="s">
        <v>136</v>
      </c>
      <c r="D10" s="8" t="s">
        <v>448</v>
      </c>
      <c r="E10" s="9" t="n">
        <v>0.0523958333333333</v>
      </c>
      <c r="F10" s="8" t="n">
        <v>150</v>
      </c>
      <c r="G10" s="8" t="n">
        <v>150</v>
      </c>
      <c r="H10" s="8" t="n">
        <v>9.63</v>
      </c>
      <c r="I10" s="8" t="s">
        <v>97</v>
      </c>
      <c r="J10" s="8" t="s">
        <v>158</v>
      </c>
      <c r="K10" s="10" t="n">
        <v>45938</v>
      </c>
      <c r="L10" s="8" t="n">
        <v>3</v>
      </c>
    </row>
    <row r="11" customFormat="false" ht="15" hidden="false" customHeight="false" outlineLevel="0" collapsed="false">
      <c r="A11" s="8" t="n">
        <v>10</v>
      </c>
      <c r="B11" s="8" t="s">
        <v>119</v>
      </c>
      <c r="C11" s="8" t="s">
        <v>120</v>
      </c>
      <c r="D11" s="8" t="s">
        <v>448</v>
      </c>
      <c r="E11" s="9" t="n">
        <v>0.0524421296296296</v>
      </c>
      <c r="F11" s="8" t="n">
        <v>150</v>
      </c>
      <c r="G11" s="8" t="n">
        <v>150</v>
      </c>
      <c r="H11" s="8" t="n">
        <v>9.7</v>
      </c>
      <c r="I11" s="8" t="s">
        <v>105</v>
      </c>
      <c r="J11" s="8" t="s">
        <v>152</v>
      </c>
      <c r="K11" s="10" t="n">
        <v>45938</v>
      </c>
      <c r="L11" s="8" t="n">
        <v>4</v>
      </c>
    </row>
    <row r="12" customFormat="false" ht="15" hidden="false" customHeight="false" outlineLevel="0" collapsed="false">
      <c r="A12" s="8" t="n">
        <v>11</v>
      </c>
      <c r="B12" s="8" t="s">
        <v>169</v>
      </c>
      <c r="C12" s="8" t="s">
        <v>170</v>
      </c>
      <c r="D12" s="8" t="s">
        <v>449</v>
      </c>
      <c r="E12" s="9" t="n">
        <v>0.0529166666666667</v>
      </c>
      <c r="F12" s="8" t="n">
        <v>140</v>
      </c>
      <c r="G12" s="8" t="n">
        <v>140</v>
      </c>
      <c r="H12" s="8" t="n">
        <v>7.97</v>
      </c>
      <c r="I12" s="8" t="s">
        <v>110</v>
      </c>
      <c r="J12" s="8" t="s">
        <v>173</v>
      </c>
      <c r="K12" s="10" t="n">
        <v>45972</v>
      </c>
      <c r="L12" s="8" t="n">
        <v>13</v>
      </c>
    </row>
    <row r="13" customFormat="false" ht="15" hidden="false" customHeight="false" outlineLevel="0" collapsed="false">
      <c r="A13" s="8" t="n">
        <v>12</v>
      </c>
      <c r="B13" s="8" t="s">
        <v>194</v>
      </c>
      <c r="C13" s="8" t="s">
        <v>119</v>
      </c>
      <c r="D13" s="8" t="s">
        <v>450</v>
      </c>
      <c r="E13" s="9" t="n">
        <v>0.0478009259259259</v>
      </c>
      <c r="F13" s="8" t="n">
        <v>120</v>
      </c>
      <c r="G13" s="8" t="n">
        <v>120</v>
      </c>
      <c r="H13" s="8" t="n">
        <v>7.53</v>
      </c>
      <c r="I13" s="8" t="s">
        <v>117</v>
      </c>
      <c r="J13" s="8" t="s">
        <v>196</v>
      </c>
      <c r="K13" s="10" t="n">
        <v>45943</v>
      </c>
      <c r="L13" s="8" t="n">
        <v>7</v>
      </c>
    </row>
    <row r="14" customFormat="false" ht="15" hidden="false" customHeight="false" outlineLevel="0" collapsed="false">
      <c r="A14" s="8" t="n">
        <v>13</v>
      </c>
      <c r="B14" s="8" t="s">
        <v>190</v>
      </c>
      <c r="C14" s="8" t="s">
        <v>191</v>
      </c>
      <c r="D14" s="8" t="s">
        <v>450</v>
      </c>
      <c r="E14" s="9" t="n">
        <v>0.0478819444444444</v>
      </c>
      <c r="F14" s="8" t="n">
        <v>120</v>
      </c>
      <c r="G14" s="8" t="n">
        <v>120</v>
      </c>
      <c r="H14" s="8" t="n">
        <v>7.57</v>
      </c>
      <c r="I14" s="8" t="s">
        <v>121</v>
      </c>
      <c r="J14" s="8" t="s">
        <v>176</v>
      </c>
      <c r="K14" s="10" t="n">
        <v>45943</v>
      </c>
      <c r="L14" s="8" t="n">
        <v>8</v>
      </c>
    </row>
    <row r="15" customFormat="false" ht="15" hidden="false" customHeight="false" outlineLevel="0" collapsed="false">
      <c r="A15" s="8" t="n">
        <v>14</v>
      </c>
      <c r="B15" s="8" t="s">
        <v>169</v>
      </c>
      <c r="C15" s="8" t="s">
        <v>170</v>
      </c>
      <c r="D15" s="8" t="s">
        <v>451</v>
      </c>
      <c r="E15" s="9" t="n">
        <v>0.050775462962963</v>
      </c>
      <c r="F15" s="8" t="n">
        <v>100</v>
      </c>
      <c r="G15" s="8" t="n">
        <v>100</v>
      </c>
      <c r="H15" s="8" t="n">
        <v>7.81</v>
      </c>
      <c r="I15" s="8" t="s">
        <v>133</v>
      </c>
      <c r="J15" s="8" t="s">
        <v>193</v>
      </c>
      <c r="K15" s="10" t="n">
        <v>45951</v>
      </c>
      <c r="L15" s="8" t="n">
        <v>9</v>
      </c>
    </row>
    <row r="16" customFormat="false" ht="15" hidden="false" customHeight="false" outlineLevel="0" collapsed="false">
      <c r="A16" s="8" t="n">
        <v>15</v>
      </c>
      <c r="B16" s="8" t="s">
        <v>99</v>
      </c>
      <c r="C16" s="8" t="s">
        <v>100</v>
      </c>
      <c r="D16" s="8" t="s">
        <v>452</v>
      </c>
      <c r="E16" s="9" t="n">
        <v>0.0643981481481482</v>
      </c>
      <c r="F16" s="8" t="n">
        <v>180</v>
      </c>
      <c r="G16" s="8" t="n">
        <v>50</v>
      </c>
      <c r="H16" s="8" t="n">
        <v>13.71</v>
      </c>
      <c r="I16" s="8" t="s">
        <v>180</v>
      </c>
      <c r="J16" s="8" t="s">
        <v>218</v>
      </c>
      <c r="K16" s="10" t="n">
        <v>45971</v>
      </c>
      <c r="L16" s="8" t="n">
        <v>12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P25" activeCellId="1" sqref="A:A P25"/>
    </sheetView>
  </sheetViews>
  <sheetFormatPr defaultColWidth="9.14453125" defaultRowHeight="15" customHeight="true" zeroHeight="false" outlineLevelRow="0" outlineLevelCol="0"/>
  <cols>
    <col collapsed="false" customWidth="false" hidden="false" outlineLevel="0" max="10" min="1" style="11" width="9.14"/>
    <col collapsed="false" customWidth="true" hidden="false" outlineLevel="0" max="11" min="11" style="11" width="11.43"/>
    <col collapsed="false" customWidth="false" hidden="false" outlineLevel="0" max="16384" min="12" style="11" width="9.14"/>
  </cols>
  <sheetData>
    <row r="1" customFormat="false" ht="15" hidden="false" customHeight="false" outlineLevel="0" collapsed="false">
      <c r="A1" s="11" t="s">
        <v>59</v>
      </c>
      <c r="B1" s="11" t="s">
        <v>60</v>
      </c>
      <c r="C1" s="11" t="s">
        <v>61</v>
      </c>
      <c r="D1" s="11" t="s">
        <v>62</v>
      </c>
      <c r="E1" s="11" t="s">
        <v>63</v>
      </c>
      <c r="F1" s="11" t="s">
        <v>64</v>
      </c>
      <c r="G1" s="11" t="s">
        <v>65</v>
      </c>
      <c r="H1" s="11" t="s">
        <v>66</v>
      </c>
      <c r="I1" s="11" t="s">
        <v>67</v>
      </c>
      <c r="J1" s="11" t="s">
        <v>68</v>
      </c>
      <c r="K1" s="11" t="s">
        <v>69</v>
      </c>
      <c r="L1" s="11" t="s">
        <v>70</v>
      </c>
    </row>
    <row r="2" customFormat="false" ht="15" hidden="false" customHeight="false" outlineLevel="0" collapsed="false">
      <c r="A2" s="11" t="n">
        <v>1</v>
      </c>
      <c r="B2" s="11" t="s">
        <v>85</v>
      </c>
      <c r="C2" s="11" t="s">
        <v>453</v>
      </c>
      <c r="D2" s="11" t="s">
        <v>454</v>
      </c>
      <c r="E2" s="12" t="n">
        <v>2.41388888888889</v>
      </c>
      <c r="F2" s="11" t="n">
        <v>250</v>
      </c>
      <c r="G2" s="11" t="n">
        <v>250</v>
      </c>
      <c r="H2" s="11" t="n">
        <v>11.07</v>
      </c>
      <c r="I2" s="11" t="s">
        <v>74</v>
      </c>
      <c r="J2" s="11" t="s">
        <v>88</v>
      </c>
      <c r="K2" s="13" t="n">
        <v>45991</v>
      </c>
      <c r="L2" s="11" t="n">
        <v>42</v>
      </c>
    </row>
    <row r="3" customFormat="false" ht="15" hidden="false" customHeight="false" outlineLevel="0" collapsed="false">
      <c r="A3" s="11" t="n">
        <v>2</v>
      </c>
      <c r="B3" s="11" t="s">
        <v>85</v>
      </c>
      <c r="C3" s="11" t="s">
        <v>86</v>
      </c>
      <c r="D3" s="11" t="s">
        <v>455</v>
      </c>
      <c r="E3" s="12" t="n">
        <v>2.41388888888889</v>
      </c>
      <c r="F3" s="11" t="n">
        <v>240</v>
      </c>
      <c r="G3" s="11" t="n">
        <v>240</v>
      </c>
      <c r="H3" s="11" t="n">
        <v>11.07</v>
      </c>
      <c r="I3" s="11" t="s">
        <v>83</v>
      </c>
      <c r="J3" s="11" t="s">
        <v>98</v>
      </c>
      <c r="K3" s="13" t="n">
        <v>45991</v>
      </c>
      <c r="L3" s="11" t="n">
        <v>41</v>
      </c>
    </row>
    <row r="4" customFormat="false" ht="15" hidden="false" customHeight="false" outlineLevel="0" collapsed="false">
      <c r="A4" s="11" t="n">
        <v>3</v>
      </c>
      <c r="B4" s="11" t="s">
        <v>89</v>
      </c>
      <c r="C4" s="11" t="s">
        <v>90</v>
      </c>
      <c r="D4" s="11" t="s">
        <v>456</v>
      </c>
      <c r="E4" s="12" t="n">
        <v>2.48958333333333</v>
      </c>
      <c r="F4" s="11" t="n">
        <v>240</v>
      </c>
      <c r="G4" s="11" t="n">
        <v>240</v>
      </c>
      <c r="H4" s="11" t="n">
        <v>10.47</v>
      </c>
      <c r="I4" s="11" t="s">
        <v>87</v>
      </c>
      <c r="J4" s="11" t="s">
        <v>84</v>
      </c>
      <c r="K4" s="13" t="n">
        <v>45965</v>
      </c>
      <c r="L4" s="11" t="n">
        <v>33</v>
      </c>
    </row>
    <row r="5" customFormat="false" ht="15" hidden="false" customHeight="false" outlineLevel="0" collapsed="false">
      <c r="A5" s="11" t="n">
        <v>4</v>
      </c>
      <c r="B5" s="11" t="s">
        <v>99</v>
      </c>
      <c r="C5" s="11" t="s">
        <v>100</v>
      </c>
      <c r="D5" s="11" t="s">
        <v>457</v>
      </c>
      <c r="E5" s="12" t="n">
        <v>2.43611111111111</v>
      </c>
      <c r="F5" s="11" t="n">
        <v>220</v>
      </c>
      <c r="G5" s="11" t="n">
        <v>220</v>
      </c>
      <c r="H5" s="11" t="n">
        <v>10.24</v>
      </c>
      <c r="I5" s="11" t="s">
        <v>101</v>
      </c>
      <c r="J5" s="11" t="s">
        <v>102</v>
      </c>
      <c r="K5" s="13" t="n">
        <v>45964</v>
      </c>
      <c r="L5" s="11" t="n">
        <v>13</v>
      </c>
    </row>
    <row r="6" customFormat="false" ht="15" hidden="false" customHeight="false" outlineLevel="0" collapsed="false">
      <c r="A6" s="11" t="n">
        <v>5</v>
      </c>
      <c r="B6" s="11" t="s">
        <v>89</v>
      </c>
      <c r="C6" s="11" t="s">
        <v>90</v>
      </c>
      <c r="D6" s="11" t="s">
        <v>458</v>
      </c>
      <c r="E6" s="12" t="n">
        <v>2.45833333333333</v>
      </c>
      <c r="F6" s="11" t="n">
        <v>220</v>
      </c>
      <c r="G6" s="11" t="n">
        <v>220</v>
      </c>
      <c r="H6" s="11" t="n">
        <v>9.83</v>
      </c>
      <c r="I6" s="11" t="s">
        <v>92</v>
      </c>
      <c r="J6" s="11" t="s">
        <v>93</v>
      </c>
      <c r="K6" s="13" t="n">
        <v>45956</v>
      </c>
      <c r="L6" s="11" t="n">
        <v>26</v>
      </c>
    </row>
    <row r="7" customFormat="false" ht="15" hidden="false" customHeight="false" outlineLevel="0" collapsed="false">
      <c r="A7" s="11" t="n">
        <v>6</v>
      </c>
      <c r="B7" s="11" t="s">
        <v>89</v>
      </c>
      <c r="C7" s="11" t="s">
        <v>90</v>
      </c>
      <c r="D7" s="11" t="s">
        <v>456</v>
      </c>
      <c r="E7" s="14" t="n">
        <v>0.0428819444444444</v>
      </c>
      <c r="F7" s="11" t="n">
        <v>240</v>
      </c>
      <c r="G7" s="11" t="n">
        <v>220</v>
      </c>
      <c r="H7" s="11" t="n">
        <v>10.87</v>
      </c>
      <c r="I7" s="11" t="s">
        <v>95</v>
      </c>
      <c r="J7" s="11" t="s">
        <v>111</v>
      </c>
      <c r="K7" s="13" t="n">
        <v>45961</v>
      </c>
      <c r="L7" s="11" t="n">
        <v>6</v>
      </c>
    </row>
    <row r="8" customFormat="false" ht="15" hidden="false" customHeight="false" outlineLevel="0" collapsed="false">
      <c r="A8" s="11" t="n">
        <v>7</v>
      </c>
      <c r="B8" s="11" t="s">
        <v>85</v>
      </c>
      <c r="C8" s="11" t="s">
        <v>86</v>
      </c>
      <c r="D8" s="11" t="s">
        <v>454</v>
      </c>
      <c r="E8" s="14" t="n">
        <v>0.0433796296296296</v>
      </c>
      <c r="F8" s="11" t="n">
        <v>250</v>
      </c>
      <c r="G8" s="11" t="n">
        <v>220</v>
      </c>
      <c r="H8" s="11" t="n">
        <v>11.64</v>
      </c>
      <c r="I8" s="11" t="s">
        <v>97</v>
      </c>
      <c r="J8" s="11" t="s">
        <v>252</v>
      </c>
      <c r="K8" s="13" t="n">
        <v>45942</v>
      </c>
      <c r="L8" s="11" t="n">
        <v>35</v>
      </c>
    </row>
    <row r="9" customFormat="false" ht="15" hidden="false" customHeight="false" outlineLevel="0" collapsed="false">
      <c r="A9" s="11" t="n">
        <v>8</v>
      </c>
      <c r="B9" s="11" t="s">
        <v>103</v>
      </c>
      <c r="C9" s="11" t="s">
        <v>104</v>
      </c>
      <c r="D9" s="11" t="s">
        <v>459</v>
      </c>
      <c r="E9" s="12" t="n">
        <v>2.40625</v>
      </c>
      <c r="F9" s="11" t="n">
        <v>210</v>
      </c>
      <c r="G9" s="11" t="n">
        <v>210</v>
      </c>
      <c r="H9" s="11" t="n">
        <v>9.93</v>
      </c>
      <c r="I9" s="11" t="s">
        <v>105</v>
      </c>
      <c r="J9" s="11" t="s">
        <v>106</v>
      </c>
      <c r="K9" s="13" t="n">
        <v>45962</v>
      </c>
      <c r="L9" s="11" t="n">
        <v>19</v>
      </c>
    </row>
    <row r="10" customFormat="false" ht="15" hidden="false" customHeight="false" outlineLevel="0" collapsed="false">
      <c r="A10" s="11" t="n">
        <v>9</v>
      </c>
      <c r="B10" s="11" t="s">
        <v>107</v>
      </c>
      <c r="C10" s="11" t="s">
        <v>108</v>
      </c>
      <c r="D10" s="11" t="s">
        <v>460</v>
      </c>
      <c r="E10" s="12" t="n">
        <v>2.47708333333333</v>
      </c>
      <c r="F10" s="11" t="n">
        <v>210</v>
      </c>
      <c r="G10" s="11" t="n">
        <v>210</v>
      </c>
      <c r="H10" s="11" t="n">
        <v>9.94</v>
      </c>
      <c r="I10" s="11" t="s">
        <v>110</v>
      </c>
      <c r="J10" s="11" t="s">
        <v>134</v>
      </c>
      <c r="K10" s="13" t="n">
        <v>45986</v>
      </c>
      <c r="L10" s="11" t="n">
        <v>7</v>
      </c>
    </row>
    <row r="11" customFormat="false" ht="15" hidden="false" customHeight="false" outlineLevel="0" collapsed="false">
      <c r="A11" s="11" t="n">
        <v>10</v>
      </c>
      <c r="B11" s="11" t="s">
        <v>85</v>
      </c>
      <c r="C11" s="11" t="s">
        <v>86</v>
      </c>
      <c r="D11" s="11" t="s">
        <v>461</v>
      </c>
      <c r="E11" s="12" t="n">
        <v>2.49305555555556</v>
      </c>
      <c r="F11" s="11" t="n">
        <v>210</v>
      </c>
      <c r="G11" s="11" t="n">
        <v>210</v>
      </c>
      <c r="H11" s="11" t="n">
        <v>11.16</v>
      </c>
      <c r="I11" s="11" t="s">
        <v>117</v>
      </c>
      <c r="J11" s="11" t="s">
        <v>255</v>
      </c>
      <c r="K11" s="13" t="n">
        <v>45984</v>
      </c>
      <c r="L11" s="11" t="n">
        <v>20</v>
      </c>
    </row>
    <row r="12" customFormat="false" ht="15" hidden="false" customHeight="false" outlineLevel="0" collapsed="false">
      <c r="A12" s="11" t="n">
        <v>11</v>
      </c>
      <c r="B12" s="11" t="s">
        <v>99</v>
      </c>
      <c r="C12" s="11" t="s">
        <v>100</v>
      </c>
      <c r="D12" s="11" t="s">
        <v>462</v>
      </c>
      <c r="E12" s="12" t="n">
        <v>2.29444444444444</v>
      </c>
      <c r="F12" s="11" t="n">
        <v>200</v>
      </c>
      <c r="G12" s="11" t="n">
        <v>200</v>
      </c>
      <c r="H12" s="11" t="n">
        <v>9.85</v>
      </c>
      <c r="I12" s="11" t="s">
        <v>125</v>
      </c>
      <c r="J12" s="11" t="s">
        <v>189</v>
      </c>
      <c r="K12" s="13" t="n">
        <v>45943</v>
      </c>
      <c r="L12" s="11" t="n">
        <v>25</v>
      </c>
    </row>
    <row r="13" customFormat="false" ht="15" hidden="false" customHeight="false" outlineLevel="0" collapsed="false">
      <c r="A13" s="11" t="n">
        <v>12</v>
      </c>
      <c r="B13" s="11" t="s">
        <v>99</v>
      </c>
      <c r="C13" s="11" t="s">
        <v>100</v>
      </c>
      <c r="D13" s="11" t="s">
        <v>463</v>
      </c>
      <c r="E13" s="14" t="n">
        <v>0.0427546296296296</v>
      </c>
      <c r="F13" s="11" t="n">
        <v>220</v>
      </c>
      <c r="G13" s="11" t="n">
        <v>200</v>
      </c>
      <c r="H13" s="11" t="n">
        <v>10.87</v>
      </c>
      <c r="I13" s="11" t="s">
        <v>129</v>
      </c>
      <c r="J13" s="11" t="s">
        <v>218</v>
      </c>
      <c r="K13" s="13" t="n">
        <v>45961</v>
      </c>
      <c r="L13" s="11" t="n">
        <v>40</v>
      </c>
    </row>
    <row r="14" customFormat="false" ht="15" hidden="false" customHeight="false" outlineLevel="0" collapsed="false">
      <c r="A14" s="11" t="n">
        <v>13</v>
      </c>
      <c r="B14" s="11" t="s">
        <v>89</v>
      </c>
      <c r="C14" s="11" t="s">
        <v>90</v>
      </c>
      <c r="D14" s="11" t="s">
        <v>464</v>
      </c>
      <c r="E14" s="12" t="n">
        <v>2.4375</v>
      </c>
      <c r="F14" s="11" t="n">
        <v>190</v>
      </c>
      <c r="G14" s="11" t="n">
        <v>190</v>
      </c>
      <c r="H14" s="11" t="n">
        <v>9.44</v>
      </c>
      <c r="I14" s="11" t="s">
        <v>121</v>
      </c>
      <c r="J14" s="11" t="s">
        <v>141</v>
      </c>
      <c r="K14" s="13" t="n">
        <v>45965</v>
      </c>
      <c r="L14" s="11" t="n">
        <v>21</v>
      </c>
    </row>
    <row r="15" customFormat="false" ht="15" hidden="false" customHeight="false" outlineLevel="0" collapsed="false">
      <c r="A15" s="11" t="n">
        <v>14</v>
      </c>
      <c r="B15" s="11" t="s">
        <v>127</v>
      </c>
      <c r="C15" s="11" t="s">
        <v>128</v>
      </c>
      <c r="D15" s="11" t="s">
        <v>463</v>
      </c>
      <c r="E15" s="14" t="n">
        <v>0.0436342592592593</v>
      </c>
      <c r="F15" s="11" t="n">
        <v>220</v>
      </c>
      <c r="G15" s="11" t="n">
        <v>190</v>
      </c>
      <c r="H15" s="11" t="n">
        <v>11</v>
      </c>
      <c r="I15" s="11" t="s">
        <v>180</v>
      </c>
      <c r="J15" s="11" t="s">
        <v>130</v>
      </c>
      <c r="K15" s="13" t="n">
        <v>45975</v>
      </c>
      <c r="L15" s="11" t="n">
        <v>39</v>
      </c>
    </row>
    <row r="16" customFormat="false" ht="15" hidden="false" customHeight="false" outlineLevel="0" collapsed="false">
      <c r="A16" s="11" t="n">
        <v>15</v>
      </c>
      <c r="B16" s="11" t="s">
        <v>89</v>
      </c>
      <c r="C16" s="11" t="s">
        <v>90</v>
      </c>
      <c r="D16" s="11" t="s">
        <v>465</v>
      </c>
      <c r="E16" s="12" t="n">
        <v>2.20972222222222</v>
      </c>
      <c r="F16" s="11" t="n">
        <v>180</v>
      </c>
      <c r="G16" s="11" t="n">
        <v>180</v>
      </c>
      <c r="H16" s="11" t="n">
        <v>9.14</v>
      </c>
      <c r="I16" s="11" t="s">
        <v>133</v>
      </c>
      <c r="J16" s="11" t="s">
        <v>143</v>
      </c>
      <c r="K16" s="13" t="n">
        <v>45953</v>
      </c>
      <c r="L16" s="11" t="n">
        <v>18</v>
      </c>
    </row>
    <row r="17" customFormat="false" ht="15" hidden="false" customHeight="false" outlineLevel="0" collapsed="false">
      <c r="A17" s="11" t="n">
        <v>16</v>
      </c>
      <c r="B17" s="11" t="s">
        <v>119</v>
      </c>
      <c r="C17" s="11" t="s">
        <v>120</v>
      </c>
      <c r="D17" s="11" t="s">
        <v>466</v>
      </c>
      <c r="E17" s="14" t="n">
        <v>0.0435532407407407</v>
      </c>
      <c r="F17" s="11" t="n">
        <v>210</v>
      </c>
      <c r="G17" s="11" t="n">
        <v>180</v>
      </c>
      <c r="H17" s="11" t="n">
        <v>10.49</v>
      </c>
      <c r="I17" s="11" t="s">
        <v>138</v>
      </c>
      <c r="J17" s="11" t="s">
        <v>122</v>
      </c>
      <c r="K17" s="13" t="n">
        <v>45952</v>
      </c>
      <c r="L17" s="11" t="n">
        <v>23</v>
      </c>
    </row>
    <row r="18" customFormat="false" ht="15" hidden="false" customHeight="false" outlineLevel="0" collapsed="false">
      <c r="A18" s="11" t="n">
        <v>17</v>
      </c>
      <c r="B18" s="11" t="s">
        <v>135</v>
      </c>
      <c r="C18" s="11" t="s">
        <v>136</v>
      </c>
      <c r="D18" s="11" t="s">
        <v>467</v>
      </c>
      <c r="E18" s="14" t="n">
        <v>0.0438425925925926</v>
      </c>
      <c r="F18" s="11" t="n">
        <v>210</v>
      </c>
      <c r="G18" s="11" t="n">
        <v>170</v>
      </c>
      <c r="H18" s="11" t="n">
        <v>10.49</v>
      </c>
      <c r="I18" s="11" t="s">
        <v>140</v>
      </c>
      <c r="J18" s="11" t="s">
        <v>139</v>
      </c>
      <c r="K18" s="13" t="n">
        <v>45952</v>
      </c>
      <c r="L18" s="11" t="n">
        <v>4</v>
      </c>
    </row>
    <row r="19" customFormat="false" ht="15" hidden="false" customHeight="false" outlineLevel="0" collapsed="false">
      <c r="A19" s="11" t="n">
        <v>18</v>
      </c>
      <c r="B19" s="11" t="s">
        <v>378</v>
      </c>
      <c r="C19" s="11" t="s">
        <v>379</v>
      </c>
      <c r="D19" s="11" t="s">
        <v>468</v>
      </c>
      <c r="E19" s="12" t="n">
        <v>2.10486111111111</v>
      </c>
      <c r="F19" s="11" t="n">
        <v>150</v>
      </c>
      <c r="G19" s="11" t="n">
        <v>150</v>
      </c>
      <c r="H19" s="11" t="n">
        <v>7.11</v>
      </c>
      <c r="I19" s="11" t="s">
        <v>188</v>
      </c>
      <c r="J19" s="11" t="s">
        <v>126</v>
      </c>
      <c r="K19" s="13" t="n">
        <v>45959</v>
      </c>
      <c r="L19" s="11" t="n">
        <v>14</v>
      </c>
    </row>
    <row r="20" customFormat="false" ht="15" hidden="false" customHeight="false" outlineLevel="0" collapsed="false">
      <c r="A20" s="11" t="n">
        <v>19</v>
      </c>
      <c r="B20" s="11" t="s">
        <v>190</v>
      </c>
      <c r="C20" s="11" t="s">
        <v>191</v>
      </c>
      <c r="D20" s="11" t="s">
        <v>468</v>
      </c>
      <c r="E20" s="12" t="n">
        <v>2.10625</v>
      </c>
      <c r="F20" s="11" t="n">
        <v>150</v>
      </c>
      <c r="G20" s="11" t="n">
        <v>150</v>
      </c>
      <c r="H20" s="11" t="n">
        <v>7.06</v>
      </c>
      <c r="I20" s="11" t="s">
        <v>142</v>
      </c>
      <c r="J20" s="11" t="s">
        <v>158</v>
      </c>
      <c r="K20" s="13" t="n">
        <v>45959</v>
      </c>
      <c r="L20" s="11" t="n">
        <v>31</v>
      </c>
    </row>
    <row r="21" customFormat="false" ht="15" hidden="false" customHeight="false" outlineLevel="0" collapsed="false">
      <c r="A21" s="11" t="n">
        <v>20</v>
      </c>
      <c r="B21" s="11" t="s">
        <v>383</v>
      </c>
      <c r="C21" s="11" t="s">
        <v>384</v>
      </c>
      <c r="D21" s="11" t="s">
        <v>468</v>
      </c>
      <c r="E21" s="12" t="n">
        <v>2.10833333333333</v>
      </c>
      <c r="F21" s="11" t="n">
        <v>150</v>
      </c>
      <c r="G21" s="11" t="n">
        <v>150</v>
      </c>
      <c r="H21" s="11" t="n">
        <v>7.23</v>
      </c>
      <c r="I21" s="11" t="s">
        <v>211</v>
      </c>
      <c r="J21" s="11" t="s">
        <v>386</v>
      </c>
      <c r="K21" s="13" t="n">
        <v>45959</v>
      </c>
      <c r="L21" s="11" t="n">
        <v>29</v>
      </c>
    </row>
    <row r="22" customFormat="false" ht="15" hidden="false" customHeight="false" outlineLevel="0" collapsed="false">
      <c r="A22" s="11" t="n">
        <v>21</v>
      </c>
      <c r="B22" s="11" t="s">
        <v>169</v>
      </c>
      <c r="C22" s="11" t="s">
        <v>170</v>
      </c>
      <c r="D22" s="11" t="s">
        <v>469</v>
      </c>
      <c r="E22" s="12" t="n">
        <v>2.28472222222222</v>
      </c>
      <c r="F22" s="11" t="n">
        <v>140</v>
      </c>
      <c r="G22" s="11" t="n">
        <v>140</v>
      </c>
      <c r="H22" s="11" t="n">
        <v>7.35</v>
      </c>
      <c r="I22" s="11" t="s">
        <v>144</v>
      </c>
      <c r="J22" s="11" t="s">
        <v>173</v>
      </c>
      <c r="K22" s="13" t="n">
        <v>45959</v>
      </c>
      <c r="L22" s="11" t="n">
        <v>12</v>
      </c>
    </row>
    <row r="23" customFormat="false" ht="15" hidden="false" customHeight="false" outlineLevel="0" collapsed="false">
      <c r="A23" s="11" t="n">
        <v>22</v>
      </c>
      <c r="B23" s="11" t="s">
        <v>190</v>
      </c>
      <c r="C23" s="11" t="s">
        <v>191</v>
      </c>
      <c r="D23" s="11" t="s">
        <v>468</v>
      </c>
      <c r="E23" s="14" t="n">
        <v>0.042025462962963</v>
      </c>
      <c r="F23" s="11" t="n">
        <v>150</v>
      </c>
      <c r="G23" s="11" t="n">
        <v>140</v>
      </c>
      <c r="H23" s="11" t="n">
        <v>7.42</v>
      </c>
      <c r="I23" s="11" t="s">
        <v>149</v>
      </c>
      <c r="J23" s="11" t="s">
        <v>176</v>
      </c>
      <c r="K23" s="13" t="n">
        <v>45958</v>
      </c>
      <c r="L23" s="11" t="n">
        <v>3</v>
      </c>
    </row>
    <row r="24" customFormat="false" ht="15" hidden="false" customHeight="false" outlineLevel="0" collapsed="false">
      <c r="A24" s="11" t="n">
        <v>23</v>
      </c>
      <c r="B24" s="11" t="s">
        <v>470</v>
      </c>
      <c r="C24" s="11" t="s">
        <v>471</v>
      </c>
      <c r="D24" s="11" t="s">
        <v>472</v>
      </c>
      <c r="E24" s="12" t="n">
        <v>2.14583333333333</v>
      </c>
      <c r="F24" s="11" t="n">
        <v>130</v>
      </c>
      <c r="G24" s="11" t="n">
        <v>130</v>
      </c>
      <c r="H24" s="11" t="n">
        <v>7.01</v>
      </c>
      <c r="I24" s="11" t="s">
        <v>213</v>
      </c>
      <c r="J24" s="11" t="s">
        <v>392</v>
      </c>
      <c r="K24" s="13" t="n">
        <v>45984</v>
      </c>
      <c r="L24" s="11" t="n">
        <v>38</v>
      </c>
    </row>
    <row r="25" customFormat="false" ht="15" hidden="false" customHeight="false" outlineLevel="0" collapsed="false">
      <c r="A25" s="11" t="n">
        <v>24</v>
      </c>
      <c r="B25" s="11" t="s">
        <v>194</v>
      </c>
      <c r="C25" s="11" t="s">
        <v>119</v>
      </c>
      <c r="D25" s="11" t="s">
        <v>468</v>
      </c>
      <c r="E25" s="14" t="n">
        <v>0.0427083333333333</v>
      </c>
      <c r="F25" s="11" t="n">
        <v>150</v>
      </c>
      <c r="G25" s="11" t="n">
        <v>130</v>
      </c>
      <c r="H25" s="11" t="n">
        <v>8.66</v>
      </c>
      <c r="I25" s="11" t="s">
        <v>151</v>
      </c>
      <c r="J25" s="11" t="s">
        <v>152</v>
      </c>
      <c r="K25" s="13" t="n">
        <v>45958</v>
      </c>
      <c r="L25" s="11" t="n">
        <v>22</v>
      </c>
    </row>
    <row r="26" customFormat="false" ht="15" hidden="false" customHeight="false" outlineLevel="0" collapsed="false">
      <c r="A26" s="11" t="n">
        <v>25</v>
      </c>
      <c r="B26" s="11" t="s">
        <v>197</v>
      </c>
      <c r="C26" s="11" t="s">
        <v>198</v>
      </c>
      <c r="D26" s="11" t="s">
        <v>473</v>
      </c>
      <c r="E26" s="12" t="n">
        <v>2.27569444444444</v>
      </c>
      <c r="F26" s="11" t="n">
        <v>120</v>
      </c>
      <c r="G26" s="11" t="n">
        <v>120</v>
      </c>
      <c r="H26" s="11" t="n">
        <v>6.12</v>
      </c>
      <c r="I26" s="11" t="s">
        <v>154</v>
      </c>
      <c r="J26" s="11" t="s">
        <v>200</v>
      </c>
      <c r="K26" s="13" t="n">
        <v>45960</v>
      </c>
      <c r="L26" s="11" t="n">
        <v>11</v>
      </c>
    </row>
    <row r="27" customFormat="false" ht="15" hidden="false" customHeight="false" outlineLevel="0" collapsed="false">
      <c r="A27" s="11" t="n">
        <v>26</v>
      </c>
      <c r="B27" s="11" t="s">
        <v>123</v>
      </c>
      <c r="C27" s="11" t="s">
        <v>291</v>
      </c>
      <c r="D27" s="11" t="s">
        <v>474</v>
      </c>
      <c r="E27" s="12" t="n">
        <v>1.99305555555556</v>
      </c>
      <c r="F27" s="11" t="n">
        <v>110</v>
      </c>
      <c r="G27" s="11" t="n">
        <v>110</v>
      </c>
      <c r="H27" s="11" t="n">
        <v>5.69</v>
      </c>
      <c r="I27" s="11" t="s">
        <v>215</v>
      </c>
      <c r="J27" s="11" t="s">
        <v>292</v>
      </c>
      <c r="K27" s="13" t="n">
        <v>45982</v>
      </c>
      <c r="L27" s="11" t="n">
        <v>36</v>
      </c>
    </row>
    <row r="28" customFormat="false" ht="15" hidden="false" customHeight="false" outlineLevel="0" collapsed="false">
      <c r="A28" s="11" t="n">
        <v>27</v>
      </c>
      <c r="B28" s="11" t="s">
        <v>169</v>
      </c>
      <c r="C28" s="11" t="s">
        <v>170</v>
      </c>
      <c r="D28" s="11" t="s">
        <v>475</v>
      </c>
      <c r="E28" s="12" t="n">
        <v>2</v>
      </c>
      <c r="F28" s="11" t="n">
        <v>110</v>
      </c>
      <c r="G28" s="11" t="n">
        <v>110</v>
      </c>
      <c r="H28" s="11" t="n">
        <v>5.47</v>
      </c>
      <c r="I28" s="11" t="s">
        <v>157</v>
      </c>
      <c r="J28" s="11" t="s">
        <v>193</v>
      </c>
      <c r="K28" s="13" t="n">
        <v>45944</v>
      </c>
      <c r="L28" s="11" t="n">
        <v>27</v>
      </c>
    </row>
    <row r="29" customFormat="false" ht="15" hidden="false" customHeight="false" outlineLevel="0" collapsed="false">
      <c r="A29" s="11" t="n">
        <v>28</v>
      </c>
      <c r="B29" s="11" t="s">
        <v>470</v>
      </c>
      <c r="C29" s="11" t="s">
        <v>471</v>
      </c>
      <c r="D29" s="11" t="s">
        <v>474</v>
      </c>
      <c r="E29" s="12" t="n">
        <v>2.27916666666667</v>
      </c>
      <c r="F29" s="11" t="n">
        <v>110</v>
      </c>
      <c r="G29" s="11" t="n">
        <v>110</v>
      </c>
      <c r="H29" s="11" t="n">
        <v>7.25</v>
      </c>
      <c r="I29" s="11" t="s">
        <v>217</v>
      </c>
      <c r="J29" s="11" t="s">
        <v>393</v>
      </c>
      <c r="K29" s="13" t="n">
        <v>45982</v>
      </c>
      <c r="L29" s="11" t="n">
        <v>10</v>
      </c>
    </row>
    <row r="30" customFormat="false" ht="15" hidden="false" customHeight="false" outlineLevel="0" collapsed="false">
      <c r="A30" s="11" t="n">
        <v>29</v>
      </c>
      <c r="B30" s="11" t="s">
        <v>383</v>
      </c>
      <c r="C30" s="11" t="s">
        <v>384</v>
      </c>
      <c r="D30" s="11" t="s">
        <v>476</v>
      </c>
      <c r="E30" s="12" t="n">
        <v>1.67638888888889</v>
      </c>
      <c r="F30" s="11" t="n">
        <v>100</v>
      </c>
      <c r="G30" s="11" t="n">
        <v>100</v>
      </c>
      <c r="H30" s="11" t="n">
        <v>5.24</v>
      </c>
      <c r="I30" s="11" t="s">
        <v>235</v>
      </c>
      <c r="J30" s="11" t="s">
        <v>477</v>
      </c>
      <c r="K30" s="13" t="n">
        <v>45952</v>
      </c>
      <c r="L30" s="11" t="n">
        <v>9</v>
      </c>
    </row>
    <row r="31" customFormat="false" ht="15" hidden="false" customHeight="false" outlineLevel="0" collapsed="false">
      <c r="A31" s="11" t="n">
        <v>30</v>
      </c>
      <c r="B31" s="11" t="s">
        <v>190</v>
      </c>
      <c r="C31" s="11" t="s">
        <v>191</v>
      </c>
      <c r="D31" s="11" t="s">
        <v>476</v>
      </c>
      <c r="E31" s="12" t="n">
        <v>1.67986111111111</v>
      </c>
      <c r="F31" s="11" t="n">
        <v>100</v>
      </c>
      <c r="G31" s="11" t="n">
        <v>100</v>
      </c>
      <c r="H31" s="11" t="n">
        <v>5.22</v>
      </c>
      <c r="I31" s="11" t="s">
        <v>160</v>
      </c>
      <c r="J31" s="11" t="s">
        <v>206</v>
      </c>
      <c r="K31" s="13" t="n">
        <v>45952</v>
      </c>
      <c r="L31" s="11" t="n">
        <v>32</v>
      </c>
    </row>
    <row r="32" customFormat="false" ht="15" hidden="false" customHeight="false" outlineLevel="0" collapsed="false">
      <c r="A32" s="11" t="n">
        <v>31</v>
      </c>
      <c r="B32" s="11" t="s">
        <v>372</v>
      </c>
      <c r="C32" s="11" t="s">
        <v>373</v>
      </c>
      <c r="D32" s="11" t="s">
        <v>476</v>
      </c>
      <c r="E32" s="12" t="n">
        <v>1.69444444444444</v>
      </c>
      <c r="F32" s="11" t="n">
        <v>100</v>
      </c>
      <c r="G32" s="11" t="n">
        <v>100</v>
      </c>
      <c r="H32" s="11" t="n">
        <v>5.64</v>
      </c>
      <c r="I32" s="11" t="s">
        <v>237</v>
      </c>
      <c r="J32" s="11" t="s">
        <v>375</v>
      </c>
      <c r="K32" s="13" t="n">
        <v>45952</v>
      </c>
      <c r="L32" s="11" t="n">
        <v>24</v>
      </c>
    </row>
    <row r="33" customFormat="false" ht="15" hidden="false" customHeight="false" outlineLevel="0" collapsed="false">
      <c r="A33" s="11" t="n">
        <v>32</v>
      </c>
      <c r="B33" s="11" t="s">
        <v>378</v>
      </c>
      <c r="C33" s="11" t="s">
        <v>379</v>
      </c>
      <c r="D33" s="11" t="s">
        <v>476</v>
      </c>
      <c r="E33" s="12" t="n">
        <v>1.69791666666667</v>
      </c>
      <c r="F33" s="11" t="n">
        <v>100</v>
      </c>
      <c r="G33" s="11" t="n">
        <v>100</v>
      </c>
      <c r="H33" s="11" t="n">
        <v>5.34</v>
      </c>
      <c r="I33" s="11" t="s">
        <v>242</v>
      </c>
      <c r="J33" s="11" t="s">
        <v>181</v>
      </c>
      <c r="K33" s="13" t="n">
        <v>45952</v>
      </c>
      <c r="L33" s="11" t="n">
        <v>2</v>
      </c>
    </row>
    <row r="34" customFormat="false" ht="15" hidden="false" customHeight="false" outlineLevel="0" collapsed="false">
      <c r="A34" s="11" t="n">
        <v>33</v>
      </c>
      <c r="B34" s="11" t="s">
        <v>123</v>
      </c>
      <c r="C34" s="11" t="s">
        <v>478</v>
      </c>
      <c r="D34" s="11" t="s">
        <v>479</v>
      </c>
      <c r="E34" s="12" t="n">
        <v>1.99305555555556</v>
      </c>
      <c r="F34" s="11" t="n">
        <v>90</v>
      </c>
      <c r="G34" s="11" t="n">
        <v>90</v>
      </c>
      <c r="H34" s="11" t="n">
        <v>5.69</v>
      </c>
      <c r="I34" s="11" t="s">
        <v>247</v>
      </c>
      <c r="J34" s="11" t="s">
        <v>480</v>
      </c>
      <c r="K34" s="13" t="n">
        <v>45982</v>
      </c>
      <c r="L34" s="11" t="n">
        <v>30</v>
      </c>
    </row>
    <row r="35" customFormat="false" ht="15" hidden="false" customHeight="false" outlineLevel="0" collapsed="false">
      <c r="A35" s="11" t="n">
        <v>34</v>
      </c>
      <c r="B35" s="11" t="s">
        <v>127</v>
      </c>
      <c r="C35" s="11" t="s">
        <v>128</v>
      </c>
      <c r="D35" s="11" t="s">
        <v>481</v>
      </c>
      <c r="E35" s="15" t="n">
        <v>0.635416666666667</v>
      </c>
      <c r="F35" s="11" t="n">
        <v>10</v>
      </c>
      <c r="G35" s="11" t="n">
        <v>10</v>
      </c>
      <c r="H35" s="11" t="n">
        <v>2.12</v>
      </c>
      <c r="I35" s="11" t="s">
        <v>309</v>
      </c>
      <c r="J35" s="11" t="s">
        <v>214</v>
      </c>
      <c r="K35" s="13" t="n">
        <v>45966</v>
      </c>
      <c r="L35" s="11" t="n">
        <v>5</v>
      </c>
    </row>
    <row r="36" customFormat="false" ht="15" hidden="false" customHeight="false" outlineLevel="0" collapsed="false">
      <c r="A36" s="11" t="n">
        <v>35</v>
      </c>
      <c r="B36" s="11" t="s">
        <v>123</v>
      </c>
      <c r="C36" s="11" t="s">
        <v>124</v>
      </c>
      <c r="D36" s="11" t="s">
        <v>482</v>
      </c>
      <c r="E36" s="14" t="n">
        <v>0.0453587962962963</v>
      </c>
      <c r="F36" s="11" t="n">
        <v>70</v>
      </c>
      <c r="G36" s="11" t="n">
        <v>10</v>
      </c>
      <c r="H36" s="11" t="n">
        <v>4.96</v>
      </c>
      <c r="I36" s="11" t="s">
        <v>312</v>
      </c>
      <c r="J36" s="11" t="s">
        <v>212</v>
      </c>
      <c r="K36" s="13" t="n">
        <v>45931</v>
      </c>
      <c r="L36" s="11" t="n">
        <v>16</v>
      </c>
    </row>
    <row r="37" customFormat="false" ht="15" hidden="false" customHeight="false" outlineLevel="0" collapsed="false">
      <c r="A37" s="11" t="n">
        <v>36</v>
      </c>
      <c r="B37" s="11" t="s">
        <v>89</v>
      </c>
      <c r="C37" s="11" t="s">
        <v>90</v>
      </c>
      <c r="D37" s="11" t="s">
        <v>483</v>
      </c>
      <c r="E37" s="14" t="n">
        <v>0.0513657407407407</v>
      </c>
      <c r="F37" s="11" t="n">
        <v>150</v>
      </c>
      <c r="G37" s="11" t="n">
        <v>10</v>
      </c>
      <c r="H37" s="11" t="n">
        <v>10.57</v>
      </c>
      <c r="I37" s="11" t="s">
        <v>164</v>
      </c>
      <c r="J37" s="11" t="s">
        <v>155</v>
      </c>
      <c r="K37" s="13" t="n">
        <v>45937</v>
      </c>
      <c r="L37" s="11" t="n">
        <v>34</v>
      </c>
    </row>
    <row r="38" customFormat="false" ht="15" hidden="false" customHeight="false" outlineLevel="0" collapsed="false">
      <c r="A38" s="11" t="n">
        <v>37</v>
      </c>
      <c r="B38" s="11" t="s">
        <v>127</v>
      </c>
      <c r="C38" s="11" t="s">
        <v>128</v>
      </c>
      <c r="D38" s="11" t="s">
        <v>482</v>
      </c>
      <c r="E38" s="14" t="n">
        <v>0.0461226851851852</v>
      </c>
      <c r="F38" s="11" t="n">
        <v>70</v>
      </c>
      <c r="G38" s="11" t="n">
        <v>0</v>
      </c>
      <c r="H38" s="11" t="n">
        <v>5.28</v>
      </c>
      <c r="I38" s="11" t="s">
        <v>317</v>
      </c>
      <c r="J38" s="11" t="s">
        <v>236</v>
      </c>
      <c r="K38" s="13" t="n">
        <v>45931</v>
      </c>
      <c r="L38" s="11" t="n">
        <v>28</v>
      </c>
    </row>
    <row r="39" customFormat="false" ht="15" hidden="false" customHeight="false" outlineLevel="0" collapsed="false">
      <c r="A39" s="11" t="n">
        <v>38</v>
      </c>
      <c r="B39" s="11" t="s">
        <v>127</v>
      </c>
      <c r="C39" s="11" t="s">
        <v>128</v>
      </c>
      <c r="D39" s="11" t="s">
        <v>484</v>
      </c>
      <c r="E39" s="14" t="n">
        <v>0.0671527777777778</v>
      </c>
      <c r="F39" s="11" t="n">
        <v>140</v>
      </c>
      <c r="G39" s="11" t="n">
        <v>-230</v>
      </c>
      <c r="H39" s="11" t="n">
        <v>12.22</v>
      </c>
      <c r="I39" s="11" t="s">
        <v>314</v>
      </c>
      <c r="J39" s="11" t="s">
        <v>332</v>
      </c>
      <c r="K39" s="13" t="n">
        <v>45966</v>
      </c>
      <c r="L39" s="11" t="n">
        <v>17</v>
      </c>
    </row>
    <row r="40" customFormat="false" ht="15" hidden="false" customHeight="false" outlineLevel="0" collapsed="false">
      <c r="A40" s="11" t="n">
        <v>39</v>
      </c>
      <c r="B40" s="11" t="s">
        <v>123</v>
      </c>
      <c r="C40" s="11" t="s">
        <v>124</v>
      </c>
      <c r="D40" s="11" t="s">
        <v>484</v>
      </c>
      <c r="E40" s="14" t="n">
        <v>0.0672453703703704</v>
      </c>
      <c r="F40" s="11" t="n">
        <v>140</v>
      </c>
      <c r="G40" s="11" t="n">
        <v>-230</v>
      </c>
      <c r="H40" s="11" t="n">
        <v>11.66</v>
      </c>
      <c r="I40" s="11" t="s">
        <v>325</v>
      </c>
      <c r="J40" s="11" t="s">
        <v>216</v>
      </c>
      <c r="K40" s="13" t="n">
        <v>45966</v>
      </c>
      <c r="L40" s="11" t="n">
        <v>37</v>
      </c>
    </row>
    <row r="41" customFormat="false" ht="15" hidden="false" customHeight="false" outlineLevel="0" collapsed="false">
      <c r="A41" s="11" t="n">
        <v>40</v>
      </c>
      <c r="B41" s="11" t="s">
        <v>103</v>
      </c>
      <c r="C41" s="11" t="s">
        <v>104</v>
      </c>
      <c r="D41" s="11" t="s">
        <v>485</v>
      </c>
      <c r="E41" s="14" t="n">
        <v>0.0744675925925926</v>
      </c>
      <c r="F41" s="11" t="n">
        <v>220</v>
      </c>
      <c r="G41" s="11" t="n">
        <v>-260</v>
      </c>
      <c r="H41" s="11" t="n">
        <v>14.18</v>
      </c>
      <c r="I41" s="11" t="s">
        <v>167</v>
      </c>
      <c r="J41" s="11" t="s">
        <v>145</v>
      </c>
      <c r="K41" s="13" t="n">
        <v>45948</v>
      </c>
      <c r="L41" s="11" t="n">
        <v>15</v>
      </c>
    </row>
    <row r="42" customFormat="false" ht="15" hidden="false" customHeight="false" outlineLevel="0" collapsed="false">
      <c r="A42" s="11" t="n">
        <v>41</v>
      </c>
      <c r="B42" s="11" t="s">
        <v>99</v>
      </c>
      <c r="C42" s="11" t="s">
        <v>100</v>
      </c>
      <c r="D42" s="11" t="s">
        <v>486</v>
      </c>
      <c r="E42" s="14" t="n">
        <v>0.0805902777777778</v>
      </c>
      <c r="F42" s="11" t="n">
        <v>250</v>
      </c>
      <c r="G42" s="11" t="n">
        <v>-320</v>
      </c>
      <c r="H42" s="11" t="n">
        <v>15.2</v>
      </c>
      <c r="I42" s="11" t="s">
        <v>326</v>
      </c>
      <c r="J42" s="11" t="s">
        <v>243</v>
      </c>
      <c r="K42" s="13" t="n">
        <v>45936</v>
      </c>
      <c r="L42" s="11" t="n">
        <v>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J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L32" activeCellId="1" sqref="A:A L32"/>
    </sheetView>
  </sheetViews>
  <sheetFormatPr defaultColWidth="8.59765625" defaultRowHeight="15" customHeight="true" zeroHeight="false" outlineLevelRow="0" outlineLevelCol="0"/>
  <cols>
    <col collapsed="false" customWidth="true" hidden="false" outlineLevel="0" max="1" min="1" style="0" width="21.43"/>
    <col collapsed="false" customWidth="true" hidden="false" outlineLevel="0" max="2" min="2" style="0" width="16.29"/>
    <col collapsed="false" customWidth="true" hidden="false" outlineLevel="0" max="3" min="3" style="0" width="11.28"/>
    <col collapsed="false" customWidth="true" hidden="false" outlineLevel="0" max="4" min="4" style="0" width="6.71"/>
    <col collapsed="false" customWidth="true" hidden="false" outlineLevel="0" max="5" min="5" style="0" width="7.15"/>
    <col collapsed="false" customWidth="true" hidden="false" outlineLevel="0" max="6" min="6" style="0" width="8.14"/>
    <col collapsed="false" customWidth="true" hidden="false" outlineLevel="0" max="7" min="7" style="0" width="7.15"/>
    <col collapsed="false" customWidth="true" hidden="false" outlineLevel="0" max="8" min="8" style="0" width="8.43"/>
    <col collapsed="false" customWidth="true" hidden="false" outlineLevel="0" max="9" min="9" style="0" width="8.14"/>
    <col collapsed="false" customWidth="true" hidden="false" outlineLevel="0" max="10" min="10" style="0" width="11.28"/>
  </cols>
  <sheetData>
    <row r="3" customFormat="false" ht="15" hidden="false" customHeight="false" outlineLevel="0" collapsed="false">
      <c r="A3" s="16" t="s">
        <v>487</v>
      </c>
      <c r="B3" s="17" t="s">
        <v>488</v>
      </c>
      <c r="C3" s="18"/>
      <c r="D3" s="18"/>
      <c r="E3" s="18"/>
      <c r="F3" s="18"/>
      <c r="G3" s="18"/>
      <c r="H3" s="18"/>
      <c r="I3" s="18"/>
      <c r="J3" s="19"/>
    </row>
    <row r="4" customFormat="false" ht="15" hidden="false" customHeight="false" outlineLevel="0" collapsed="false">
      <c r="A4" s="20" t="s">
        <v>0</v>
      </c>
      <c r="B4" s="21" t="s">
        <v>1</v>
      </c>
      <c r="C4" s="22" t="s">
        <v>2</v>
      </c>
      <c r="D4" s="22" t="s">
        <v>3</v>
      </c>
      <c r="E4" s="22" t="s">
        <v>4</v>
      </c>
      <c r="F4" s="22" t="s">
        <v>5</v>
      </c>
      <c r="G4" s="22" t="s">
        <v>6</v>
      </c>
      <c r="H4" s="22" t="s">
        <v>7</v>
      </c>
      <c r="I4" s="22" t="s">
        <v>8</v>
      </c>
      <c r="J4" s="23" t="s">
        <v>489</v>
      </c>
    </row>
    <row r="5" customFormat="false" ht="15" hidden="false" customHeight="false" outlineLevel="0" collapsed="false">
      <c r="A5" s="24" t="s">
        <v>17</v>
      </c>
      <c r="B5" s="25" t="n">
        <v>180</v>
      </c>
      <c r="C5" s="26" t="n">
        <v>140</v>
      </c>
      <c r="D5" s="26" t="n">
        <v>170</v>
      </c>
      <c r="E5" s="26" t="n">
        <v>210</v>
      </c>
      <c r="F5" s="26" t="n">
        <v>190</v>
      </c>
      <c r="G5" s="26" t="n">
        <v>180</v>
      </c>
      <c r="H5" s="26" t="n">
        <v>180</v>
      </c>
      <c r="I5" s="27" t="n">
        <v>180</v>
      </c>
      <c r="J5" s="28" t="n">
        <v>210</v>
      </c>
    </row>
    <row r="6" customFormat="false" ht="15" hidden="false" customHeight="false" outlineLevel="0" collapsed="false">
      <c r="A6" s="29" t="s">
        <v>28</v>
      </c>
      <c r="B6" s="30"/>
      <c r="C6" s="31"/>
      <c r="D6" s="31" t="n">
        <v>150</v>
      </c>
      <c r="E6" s="31"/>
      <c r="F6" s="31"/>
      <c r="G6" s="31" t="n">
        <v>120</v>
      </c>
      <c r="H6" s="31" t="n">
        <v>110</v>
      </c>
      <c r="I6" s="32" t="n">
        <v>120</v>
      </c>
      <c r="J6" s="33" t="n">
        <v>150</v>
      </c>
    </row>
    <row r="7" customFormat="false" ht="15" hidden="false" customHeight="false" outlineLevel="0" collapsed="false">
      <c r="A7" s="29" t="s">
        <v>30</v>
      </c>
      <c r="B7" s="30"/>
      <c r="C7" s="31"/>
      <c r="D7" s="31"/>
      <c r="E7" s="31" t="n">
        <v>250</v>
      </c>
      <c r="F7" s="31" t="n">
        <v>250</v>
      </c>
      <c r="G7" s="31"/>
      <c r="H7" s="31" t="n">
        <v>-770</v>
      </c>
      <c r="I7" s="32"/>
      <c r="J7" s="33" t="n">
        <v>250</v>
      </c>
    </row>
    <row r="8" customFormat="false" ht="15" hidden="false" customHeight="false" outlineLevel="0" collapsed="false">
      <c r="A8" s="29" t="s">
        <v>51</v>
      </c>
      <c r="B8" s="30"/>
      <c r="C8" s="31"/>
      <c r="D8" s="31"/>
      <c r="E8" s="31"/>
      <c r="F8" s="31" t="n">
        <v>40</v>
      </c>
      <c r="G8" s="31"/>
      <c r="H8" s="31"/>
      <c r="I8" s="32"/>
      <c r="J8" s="33" t="n">
        <v>40</v>
      </c>
    </row>
    <row r="9" customFormat="false" ht="15" hidden="false" customHeight="false" outlineLevel="0" collapsed="false">
      <c r="A9" s="29" t="s">
        <v>13</v>
      </c>
      <c r="B9" s="30" t="n">
        <v>180</v>
      </c>
      <c r="C9" s="31" t="n">
        <v>170</v>
      </c>
      <c r="D9" s="31" t="n">
        <v>210</v>
      </c>
      <c r="E9" s="31" t="n">
        <v>250</v>
      </c>
      <c r="F9" s="31" t="n">
        <v>220</v>
      </c>
      <c r="G9" s="31" t="n">
        <v>210</v>
      </c>
      <c r="H9" s="31" t="n">
        <v>200</v>
      </c>
      <c r="I9" s="32" t="n">
        <v>200</v>
      </c>
      <c r="J9" s="33" t="n">
        <v>250</v>
      </c>
    </row>
    <row r="10" customFormat="false" ht="15" hidden="false" customHeight="false" outlineLevel="0" collapsed="false">
      <c r="A10" s="29" t="s">
        <v>43</v>
      </c>
      <c r="B10" s="30"/>
      <c r="C10" s="31"/>
      <c r="D10" s="31"/>
      <c r="E10" s="31"/>
      <c r="F10" s="31" t="n">
        <v>220</v>
      </c>
      <c r="G10" s="31"/>
      <c r="H10" s="31"/>
      <c r="I10" s="32"/>
      <c r="J10" s="33" t="n">
        <v>220</v>
      </c>
    </row>
    <row r="11" customFormat="false" ht="15" hidden="false" customHeight="false" outlineLevel="0" collapsed="false">
      <c r="A11" s="29" t="s">
        <v>16</v>
      </c>
      <c r="B11" s="30"/>
      <c r="C11" s="31"/>
      <c r="D11" s="31" t="n">
        <v>210</v>
      </c>
      <c r="E11" s="31" t="n">
        <v>240</v>
      </c>
      <c r="F11" s="31" t="n">
        <v>210</v>
      </c>
      <c r="G11" s="31" t="n">
        <v>200</v>
      </c>
      <c r="H11" s="31" t="n">
        <v>160</v>
      </c>
      <c r="I11" s="32" t="n">
        <v>150</v>
      </c>
      <c r="J11" s="33" t="n">
        <v>240</v>
      </c>
    </row>
    <row r="12" customFormat="false" ht="15" hidden="false" customHeight="false" outlineLevel="0" collapsed="false">
      <c r="A12" s="29" t="s">
        <v>24</v>
      </c>
      <c r="B12" s="30" t="n">
        <v>120</v>
      </c>
      <c r="C12" s="31" t="n">
        <v>60</v>
      </c>
      <c r="D12" s="31" t="n">
        <v>130</v>
      </c>
      <c r="E12" s="31" t="n">
        <v>160</v>
      </c>
      <c r="F12" s="31" t="n">
        <v>130</v>
      </c>
      <c r="G12" s="31" t="n">
        <v>120</v>
      </c>
      <c r="H12" s="31" t="n">
        <v>90</v>
      </c>
      <c r="I12" s="32" t="n">
        <v>130</v>
      </c>
      <c r="J12" s="33" t="n">
        <v>160</v>
      </c>
    </row>
    <row r="13" customFormat="false" ht="15" hidden="false" customHeight="false" outlineLevel="0" collapsed="false">
      <c r="A13" s="29" t="s">
        <v>14</v>
      </c>
      <c r="B13" s="30" t="n">
        <v>180</v>
      </c>
      <c r="C13" s="31" t="n">
        <v>140</v>
      </c>
      <c r="D13" s="31" t="n">
        <v>190</v>
      </c>
      <c r="E13" s="31" t="n">
        <v>230</v>
      </c>
      <c r="F13" s="31" t="n">
        <v>200</v>
      </c>
      <c r="G13" s="31" t="n">
        <v>210</v>
      </c>
      <c r="H13" s="31" t="n">
        <v>180</v>
      </c>
      <c r="I13" s="32" t="n">
        <v>200</v>
      </c>
      <c r="J13" s="33" t="n">
        <v>230</v>
      </c>
    </row>
    <row r="14" customFormat="false" ht="15" hidden="false" customHeight="false" outlineLevel="0" collapsed="false">
      <c r="A14" s="29" t="s">
        <v>31</v>
      </c>
      <c r="B14" s="30"/>
      <c r="C14" s="31"/>
      <c r="D14" s="31" t="n">
        <v>150</v>
      </c>
      <c r="E14" s="31"/>
      <c r="F14" s="31"/>
      <c r="G14" s="31" t="n">
        <v>90</v>
      </c>
      <c r="H14" s="31" t="n">
        <v>110</v>
      </c>
      <c r="I14" s="32" t="n">
        <v>120</v>
      </c>
      <c r="J14" s="33" t="n">
        <v>150</v>
      </c>
    </row>
    <row r="15" customFormat="false" ht="15" hidden="false" customHeight="false" outlineLevel="0" collapsed="false">
      <c r="A15" s="29" t="s">
        <v>26</v>
      </c>
      <c r="B15" s="30"/>
      <c r="C15" s="31"/>
      <c r="D15" s="31"/>
      <c r="E15" s="31" t="n">
        <v>190</v>
      </c>
      <c r="F15" s="31" t="n">
        <v>180</v>
      </c>
      <c r="G15" s="31"/>
      <c r="H15" s="31" t="n">
        <v>110</v>
      </c>
      <c r="I15" s="32" t="n">
        <v>120</v>
      </c>
      <c r="J15" s="33" t="n">
        <v>190</v>
      </c>
    </row>
    <row r="16" customFormat="false" ht="15" hidden="false" customHeight="false" outlineLevel="0" collapsed="false">
      <c r="A16" s="29" t="s">
        <v>36</v>
      </c>
      <c r="B16" s="30"/>
      <c r="C16" s="31"/>
      <c r="D16" s="31"/>
      <c r="E16" s="31" t="n">
        <v>160</v>
      </c>
      <c r="F16" s="31" t="n">
        <v>150</v>
      </c>
      <c r="G16" s="31"/>
      <c r="H16" s="31"/>
      <c r="I16" s="32"/>
      <c r="J16" s="33" t="n">
        <v>160</v>
      </c>
    </row>
    <row r="17" customFormat="false" ht="15" hidden="false" customHeight="false" outlineLevel="0" collapsed="false">
      <c r="A17" s="29" t="s">
        <v>29</v>
      </c>
      <c r="B17" s="30"/>
      <c r="C17" s="31"/>
      <c r="D17" s="31"/>
      <c r="E17" s="31" t="n">
        <v>250</v>
      </c>
      <c r="F17" s="31" t="n">
        <v>250</v>
      </c>
      <c r="G17" s="31"/>
      <c r="H17" s="31"/>
      <c r="I17" s="32"/>
      <c r="J17" s="33" t="n">
        <v>250</v>
      </c>
    </row>
    <row r="18" customFormat="false" ht="15" hidden="false" customHeight="false" outlineLevel="0" collapsed="false">
      <c r="A18" s="29" t="s">
        <v>12</v>
      </c>
      <c r="B18" s="30" t="n">
        <v>200</v>
      </c>
      <c r="C18" s="31" t="n">
        <v>150</v>
      </c>
      <c r="D18" s="31" t="n">
        <v>220</v>
      </c>
      <c r="E18" s="31" t="n">
        <v>250</v>
      </c>
      <c r="F18" s="31" t="n">
        <v>220</v>
      </c>
      <c r="G18" s="31" t="n">
        <v>210</v>
      </c>
      <c r="H18" s="31" t="n">
        <v>-320</v>
      </c>
      <c r="I18" s="32" t="n">
        <v>200</v>
      </c>
      <c r="J18" s="33" t="n">
        <v>250</v>
      </c>
    </row>
    <row r="19" customFormat="false" ht="15" hidden="false" customHeight="false" outlineLevel="0" collapsed="false">
      <c r="A19" s="29" t="s">
        <v>55</v>
      </c>
      <c r="B19" s="30"/>
      <c r="C19" s="31"/>
      <c r="D19" s="31"/>
      <c r="E19" s="31"/>
      <c r="F19" s="31" t="n">
        <v>-20</v>
      </c>
      <c r="G19" s="31"/>
      <c r="H19" s="31"/>
      <c r="I19" s="32"/>
      <c r="J19" s="33" t="n">
        <v>-20</v>
      </c>
    </row>
    <row r="20" customFormat="false" ht="15" hidden="false" customHeight="false" outlineLevel="0" collapsed="false">
      <c r="A20" s="29" t="s">
        <v>41</v>
      </c>
      <c r="B20" s="30"/>
      <c r="C20" s="31"/>
      <c r="D20" s="31" t="n">
        <v>110</v>
      </c>
      <c r="E20" s="31"/>
      <c r="F20" s="31" t="n">
        <v>130</v>
      </c>
      <c r="G20" s="31"/>
      <c r="H20" s="31"/>
      <c r="I20" s="32"/>
      <c r="J20" s="33" t="n">
        <v>130</v>
      </c>
    </row>
    <row r="21" customFormat="false" ht="15" hidden="false" customHeight="false" outlineLevel="0" collapsed="false">
      <c r="A21" s="29" t="s">
        <v>49</v>
      </c>
      <c r="B21" s="30"/>
      <c r="C21" s="31"/>
      <c r="D21" s="31" t="n">
        <v>90</v>
      </c>
      <c r="E21" s="31"/>
      <c r="F21" s="31"/>
      <c r="G21" s="31"/>
      <c r="H21" s="31"/>
      <c r="I21" s="32"/>
      <c r="J21" s="33" t="n">
        <v>90</v>
      </c>
    </row>
    <row r="22" customFormat="false" ht="15" hidden="false" customHeight="false" outlineLevel="0" collapsed="false">
      <c r="A22" s="29" t="s">
        <v>18</v>
      </c>
      <c r="B22" s="30"/>
      <c r="C22" s="31" t="n">
        <v>140</v>
      </c>
      <c r="D22" s="31" t="n">
        <v>10</v>
      </c>
      <c r="E22" s="31" t="n">
        <v>230</v>
      </c>
      <c r="F22" s="31" t="n">
        <v>200</v>
      </c>
      <c r="G22" s="31" t="n">
        <v>180</v>
      </c>
      <c r="H22" s="31" t="n">
        <v>180</v>
      </c>
      <c r="I22" s="32" t="n">
        <v>180</v>
      </c>
      <c r="J22" s="33" t="n">
        <v>230</v>
      </c>
    </row>
    <row r="23" customFormat="false" ht="15" hidden="false" customHeight="false" outlineLevel="0" collapsed="false">
      <c r="A23" s="29" t="s">
        <v>52</v>
      </c>
      <c r="B23" s="30"/>
      <c r="C23" s="31"/>
      <c r="D23" s="31"/>
      <c r="E23" s="31"/>
      <c r="F23" s="31" t="n">
        <v>40</v>
      </c>
      <c r="G23" s="31"/>
      <c r="H23" s="31"/>
      <c r="I23" s="32"/>
      <c r="J23" s="33" t="n">
        <v>40</v>
      </c>
    </row>
    <row r="24" customFormat="false" ht="15" hidden="false" customHeight="false" outlineLevel="0" collapsed="false">
      <c r="A24" s="29" t="s">
        <v>10</v>
      </c>
      <c r="B24" s="30"/>
      <c r="C24" s="31" t="n">
        <v>190</v>
      </c>
      <c r="D24" s="31" t="n">
        <v>240</v>
      </c>
      <c r="E24" s="31" t="n">
        <v>250</v>
      </c>
      <c r="F24" s="31" t="n">
        <v>250</v>
      </c>
      <c r="G24" s="31" t="n">
        <v>250</v>
      </c>
      <c r="H24" s="31" t="n">
        <v>230</v>
      </c>
      <c r="I24" s="32" t="n">
        <v>250</v>
      </c>
      <c r="J24" s="33" t="n">
        <v>250</v>
      </c>
    </row>
    <row r="25" customFormat="false" ht="15" hidden="false" customHeight="false" outlineLevel="0" collapsed="false">
      <c r="A25" s="29" t="s">
        <v>40</v>
      </c>
      <c r="B25" s="30"/>
      <c r="C25" s="31"/>
      <c r="D25" s="31" t="n">
        <v>250</v>
      </c>
      <c r="E25" s="31"/>
      <c r="F25" s="31"/>
      <c r="G25" s="31"/>
      <c r="H25" s="31"/>
      <c r="I25" s="32"/>
      <c r="J25" s="33" t="n">
        <v>250</v>
      </c>
    </row>
    <row r="26" customFormat="false" ht="15" hidden="false" customHeight="false" outlineLevel="0" collapsed="false">
      <c r="A26" s="29" t="s">
        <v>44</v>
      </c>
      <c r="B26" s="30"/>
      <c r="C26" s="31"/>
      <c r="D26" s="31"/>
      <c r="E26" s="31"/>
      <c r="F26" s="31" t="n">
        <v>220</v>
      </c>
      <c r="G26" s="31"/>
      <c r="H26" s="31"/>
      <c r="I26" s="32"/>
      <c r="J26" s="33" t="n">
        <v>220</v>
      </c>
    </row>
    <row r="27" customFormat="false" ht="15" hidden="false" customHeight="false" outlineLevel="0" collapsed="false">
      <c r="A27" s="29" t="s">
        <v>33</v>
      </c>
      <c r="B27" s="30"/>
      <c r="C27" s="31"/>
      <c r="D27" s="31"/>
      <c r="E27" s="31"/>
      <c r="F27" s="31"/>
      <c r="G27" s="31"/>
      <c r="H27" s="31" t="n">
        <v>180</v>
      </c>
      <c r="I27" s="32" t="n">
        <v>170</v>
      </c>
      <c r="J27" s="33" t="n">
        <v>180</v>
      </c>
    </row>
    <row r="28" customFormat="false" ht="15" hidden="false" customHeight="false" outlineLevel="0" collapsed="false">
      <c r="A28" s="29" t="s">
        <v>48</v>
      </c>
      <c r="B28" s="30"/>
      <c r="C28" s="31"/>
      <c r="D28" s="31"/>
      <c r="E28" s="31" t="n">
        <v>-400</v>
      </c>
      <c r="F28" s="31" t="n">
        <v>120</v>
      </c>
      <c r="G28" s="31"/>
      <c r="H28" s="31"/>
      <c r="I28" s="32"/>
      <c r="J28" s="33" t="n">
        <v>120</v>
      </c>
    </row>
    <row r="29" customFormat="false" ht="15" hidden="false" customHeight="false" outlineLevel="0" collapsed="false">
      <c r="A29" s="29" t="s">
        <v>58</v>
      </c>
      <c r="B29" s="30"/>
      <c r="C29" s="31"/>
      <c r="D29" s="31"/>
      <c r="E29" s="31"/>
      <c r="F29" s="31"/>
      <c r="G29" s="31"/>
      <c r="H29" s="31"/>
      <c r="I29" s="32" t="n">
        <v>-460</v>
      </c>
      <c r="J29" s="33" t="n">
        <v>-460</v>
      </c>
    </row>
    <row r="30" customFormat="false" ht="15" hidden="false" customHeight="false" outlineLevel="0" collapsed="false">
      <c r="A30" s="29" t="s">
        <v>38</v>
      </c>
      <c r="B30" s="30"/>
      <c r="C30" s="31"/>
      <c r="D30" s="31"/>
      <c r="E30" s="31" t="n">
        <v>140</v>
      </c>
      <c r="F30" s="31" t="n">
        <v>160</v>
      </c>
      <c r="G30" s="31"/>
      <c r="H30" s="31" t="n">
        <v>-50</v>
      </c>
      <c r="I30" s="32"/>
      <c r="J30" s="33" t="n">
        <v>160</v>
      </c>
    </row>
    <row r="31" customFormat="false" ht="15" hidden="false" customHeight="false" outlineLevel="0" collapsed="false">
      <c r="A31" s="29" t="s">
        <v>39</v>
      </c>
      <c r="B31" s="30"/>
      <c r="C31" s="31" t="n">
        <v>100</v>
      </c>
      <c r="D31" s="31"/>
      <c r="E31" s="31"/>
      <c r="F31" s="31"/>
      <c r="G31" s="31"/>
      <c r="H31" s="31" t="n">
        <v>160</v>
      </c>
      <c r="I31" s="32"/>
      <c r="J31" s="33" t="n">
        <v>160</v>
      </c>
    </row>
    <row r="32" customFormat="false" ht="15" hidden="false" customHeight="false" outlineLevel="0" collapsed="false">
      <c r="A32" s="29" t="s">
        <v>45</v>
      </c>
      <c r="B32" s="30"/>
      <c r="C32" s="31"/>
      <c r="D32" s="31"/>
      <c r="E32" s="31"/>
      <c r="F32" s="31"/>
      <c r="G32" s="31" t="n">
        <v>160</v>
      </c>
      <c r="H32" s="31"/>
      <c r="I32" s="32"/>
      <c r="J32" s="33" t="n">
        <v>160</v>
      </c>
    </row>
    <row r="33" customFormat="false" ht="15" hidden="false" customHeight="false" outlineLevel="0" collapsed="false">
      <c r="A33" s="29" t="s">
        <v>22</v>
      </c>
      <c r="B33" s="30"/>
      <c r="C33" s="31"/>
      <c r="D33" s="31"/>
      <c r="E33" s="31" t="n">
        <v>210</v>
      </c>
      <c r="F33" s="31" t="n">
        <v>180</v>
      </c>
      <c r="G33" s="31" t="n">
        <v>180</v>
      </c>
      <c r="H33" s="31" t="n">
        <v>180</v>
      </c>
      <c r="I33" s="32" t="n">
        <v>80</v>
      </c>
      <c r="J33" s="33" t="n">
        <v>210</v>
      </c>
    </row>
    <row r="34" customFormat="false" ht="15" hidden="false" customHeight="false" outlineLevel="0" collapsed="false">
      <c r="A34" s="29" t="s">
        <v>32</v>
      </c>
      <c r="B34" s="30"/>
      <c r="C34" s="31"/>
      <c r="D34" s="31"/>
      <c r="E34" s="31" t="n">
        <v>230</v>
      </c>
      <c r="F34" s="31" t="n">
        <v>220</v>
      </c>
      <c r="G34" s="31"/>
      <c r="H34" s="31"/>
      <c r="I34" s="32"/>
      <c r="J34" s="33" t="n">
        <v>230</v>
      </c>
    </row>
    <row r="35" customFormat="false" ht="15" hidden="false" customHeight="false" outlineLevel="0" collapsed="false">
      <c r="A35" s="29" t="s">
        <v>37</v>
      </c>
      <c r="B35" s="30"/>
      <c r="C35" s="31"/>
      <c r="D35" s="31"/>
      <c r="E35" s="31" t="n">
        <v>160</v>
      </c>
      <c r="F35" s="31" t="n">
        <v>140</v>
      </c>
      <c r="G35" s="31"/>
      <c r="H35" s="31"/>
      <c r="I35" s="32"/>
      <c r="J35" s="33" t="n">
        <v>160</v>
      </c>
    </row>
    <row r="36" customFormat="false" ht="15" hidden="false" customHeight="false" outlineLevel="0" collapsed="false">
      <c r="A36" s="29" t="s">
        <v>20</v>
      </c>
      <c r="B36" s="30" t="n">
        <v>140</v>
      </c>
      <c r="C36" s="31" t="n">
        <v>120</v>
      </c>
      <c r="D36" s="31" t="n">
        <v>140</v>
      </c>
      <c r="E36" s="31" t="n">
        <v>180</v>
      </c>
      <c r="F36" s="31" t="n">
        <v>160</v>
      </c>
      <c r="G36" s="31" t="n">
        <v>110</v>
      </c>
      <c r="H36" s="31" t="n">
        <v>160</v>
      </c>
      <c r="I36" s="32" t="n">
        <v>160</v>
      </c>
      <c r="J36" s="33" t="n">
        <v>180</v>
      </c>
    </row>
    <row r="37" customFormat="false" ht="15" hidden="false" customHeight="false" outlineLevel="0" collapsed="false">
      <c r="A37" s="29" t="s">
        <v>23</v>
      </c>
      <c r="B37" s="30"/>
      <c r="C37" s="31"/>
      <c r="D37" s="31"/>
      <c r="E37" s="31" t="n">
        <v>220</v>
      </c>
      <c r="F37" s="31" t="n">
        <v>220</v>
      </c>
      <c r="G37" s="31" t="n">
        <v>180</v>
      </c>
      <c r="H37" s="31"/>
      <c r="I37" s="32" t="n">
        <v>180</v>
      </c>
      <c r="J37" s="33" t="n">
        <v>220</v>
      </c>
    </row>
    <row r="38" customFormat="false" ht="15" hidden="false" customHeight="false" outlineLevel="0" collapsed="false">
      <c r="A38" s="29" t="s">
        <v>53</v>
      </c>
      <c r="B38" s="30"/>
      <c r="C38" s="31"/>
      <c r="D38" s="31"/>
      <c r="E38" s="31"/>
      <c r="F38" s="31" t="n">
        <v>40</v>
      </c>
      <c r="G38" s="31"/>
      <c r="H38" s="31"/>
      <c r="I38" s="32"/>
      <c r="J38" s="33" t="n">
        <v>40</v>
      </c>
    </row>
    <row r="39" customFormat="false" ht="15" hidden="false" customHeight="false" outlineLevel="0" collapsed="false">
      <c r="A39" s="29" t="s">
        <v>27</v>
      </c>
      <c r="B39" s="30"/>
      <c r="C39" s="31"/>
      <c r="D39" s="31" t="n">
        <v>120</v>
      </c>
      <c r="E39" s="31" t="n">
        <v>160</v>
      </c>
      <c r="F39" s="31" t="n">
        <v>120</v>
      </c>
      <c r="G39" s="31" t="n">
        <v>50</v>
      </c>
      <c r="H39" s="31" t="n">
        <v>80</v>
      </c>
      <c r="I39" s="32" t="n">
        <v>70</v>
      </c>
      <c r="J39" s="33" t="n">
        <v>160</v>
      </c>
    </row>
    <row r="40" customFormat="false" ht="15" hidden="false" customHeight="false" outlineLevel="0" collapsed="false">
      <c r="A40" s="29" t="s">
        <v>25</v>
      </c>
      <c r="B40" s="30"/>
      <c r="C40" s="31"/>
      <c r="D40" s="31"/>
      <c r="E40" s="31" t="n">
        <v>250</v>
      </c>
      <c r="F40" s="31" t="n">
        <v>230</v>
      </c>
      <c r="G40" s="31"/>
      <c r="H40" s="31" t="n">
        <v>180</v>
      </c>
      <c r="I40" s="32"/>
      <c r="J40" s="33" t="n">
        <v>250</v>
      </c>
    </row>
    <row r="41" customFormat="false" ht="15" hidden="false" customHeight="false" outlineLevel="0" collapsed="false">
      <c r="A41" s="29" t="s">
        <v>56</v>
      </c>
      <c r="B41" s="30"/>
      <c r="C41" s="31"/>
      <c r="D41" s="31"/>
      <c r="E41" s="31"/>
      <c r="F41" s="31" t="n">
        <v>-20</v>
      </c>
      <c r="G41" s="31"/>
      <c r="H41" s="31"/>
      <c r="I41" s="32"/>
      <c r="J41" s="33" t="n">
        <v>-20</v>
      </c>
    </row>
    <row r="42" customFormat="false" ht="15" hidden="false" customHeight="false" outlineLevel="0" collapsed="false">
      <c r="A42" s="29" t="s">
        <v>35</v>
      </c>
      <c r="B42" s="30"/>
      <c r="C42" s="31"/>
      <c r="D42" s="31"/>
      <c r="E42" s="31" t="n">
        <v>160</v>
      </c>
      <c r="F42" s="31" t="n">
        <v>170</v>
      </c>
      <c r="G42" s="31"/>
      <c r="H42" s="31"/>
      <c r="I42" s="32"/>
      <c r="J42" s="33" t="n">
        <v>170</v>
      </c>
    </row>
    <row r="43" customFormat="false" ht="15" hidden="false" customHeight="false" outlineLevel="0" collapsed="false">
      <c r="A43" s="29" t="s">
        <v>34</v>
      </c>
      <c r="B43" s="30"/>
      <c r="C43" s="31"/>
      <c r="D43" s="31"/>
      <c r="E43" s="31"/>
      <c r="F43" s="31"/>
      <c r="G43" s="31"/>
      <c r="H43" s="31" t="n">
        <v>160</v>
      </c>
      <c r="I43" s="32" t="n">
        <v>170</v>
      </c>
      <c r="J43" s="33" t="n">
        <v>170</v>
      </c>
    </row>
    <row r="44" customFormat="false" ht="15" hidden="false" customHeight="false" outlineLevel="0" collapsed="false">
      <c r="A44" s="29" t="s">
        <v>11</v>
      </c>
      <c r="B44" s="30" t="n">
        <v>210</v>
      </c>
      <c r="C44" s="31" t="n">
        <v>140</v>
      </c>
      <c r="D44" s="31" t="n">
        <v>240</v>
      </c>
      <c r="E44" s="31" t="n">
        <v>250</v>
      </c>
      <c r="F44" s="31" t="n">
        <v>230</v>
      </c>
      <c r="G44" s="31" t="n">
        <v>210</v>
      </c>
      <c r="H44" s="31" t="n">
        <v>210</v>
      </c>
      <c r="I44" s="32" t="n">
        <v>220</v>
      </c>
      <c r="J44" s="33" t="n">
        <v>250</v>
      </c>
    </row>
    <row r="45" customFormat="false" ht="15" hidden="false" customHeight="false" outlineLevel="0" collapsed="false">
      <c r="A45" s="29" t="s">
        <v>54</v>
      </c>
      <c r="B45" s="30"/>
      <c r="C45" s="31"/>
      <c r="D45" s="31"/>
      <c r="E45" s="31"/>
      <c r="F45" s="31" t="n">
        <v>40</v>
      </c>
      <c r="G45" s="31"/>
      <c r="H45" s="31"/>
      <c r="I45" s="32"/>
      <c r="J45" s="33" t="n">
        <v>40</v>
      </c>
    </row>
    <row r="46" customFormat="false" ht="15" hidden="false" customHeight="false" outlineLevel="0" collapsed="false">
      <c r="A46" s="29" t="s">
        <v>57</v>
      </c>
      <c r="B46" s="30"/>
      <c r="C46" s="31"/>
      <c r="D46" s="31"/>
      <c r="E46" s="31"/>
      <c r="F46" s="31" t="n">
        <v>-20</v>
      </c>
      <c r="G46" s="31"/>
      <c r="H46" s="31"/>
      <c r="I46" s="32"/>
      <c r="J46" s="33" t="n">
        <v>-20</v>
      </c>
    </row>
    <row r="47" customFormat="false" ht="15" hidden="false" customHeight="false" outlineLevel="0" collapsed="false">
      <c r="A47" s="29" t="s">
        <v>15</v>
      </c>
      <c r="B47" s="30" t="n">
        <v>180</v>
      </c>
      <c r="C47" s="31" t="n">
        <v>160</v>
      </c>
      <c r="D47" s="31" t="n">
        <v>180</v>
      </c>
      <c r="E47" s="31" t="n">
        <v>230</v>
      </c>
      <c r="F47" s="31" t="n">
        <v>190</v>
      </c>
      <c r="G47" s="31" t="n">
        <v>210</v>
      </c>
      <c r="H47" s="31" t="n">
        <v>180</v>
      </c>
      <c r="I47" s="32" t="n">
        <v>200</v>
      </c>
      <c r="J47" s="33" t="n">
        <v>230</v>
      </c>
    </row>
    <row r="48" customFormat="false" ht="15" hidden="false" customHeight="false" outlineLevel="0" collapsed="false">
      <c r="A48" s="29" t="s">
        <v>46</v>
      </c>
      <c r="B48" s="30"/>
      <c r="C48" s="31"/>
      <c r="D48" s="31"/>
      <c r="E48" s="31"/>
      <c r="F48" s="31"/>
      <c r="G48" s="31"/>
      <c r="H48" s="31" t="n">
        <v>140</v>
      </c>
      <c r="I48" s="32"/>
      <c r="J48" s="33" t="n">
        <v>140</v>
      </c>
    </row>
    <row r="49" customFormat="false" ht="15" hidden="false" customHeight="false" outlineLevel="0" collapsed="false">
      <c r="A49" s="29" t="s">
        <v>21</v>
      </c>
      <c r="B49" s="30" t="n">
        <v>120</v>
      </c>
      <c r="C49" s="31" t="n">
        <v>60</v>
      </c>
      <c r="D49" s="31" t="n">
        <v>150</v>
      </c>
      <c r="E49" s="31" t="n">
        <v>160</v>
      </c>
      <c r="F49" s="31" t="n">
        <v>130</v>
      </c>
      <c r="G49" s="31" t="n">
        <v>140</v>
      </c>
      <c r="H49" s="31" t="n">
        <v>140</v>
      </c>
      <c r="I49" s="32" t="n">
        <v>130</v>
      </c>
      <c r="J49" s="33" t="n">
        <v>160</v>
      </c>
    </row>
    <row r="50" customFormat="false" ht="15" hidden="false" customHeight="false" outlineLevel="0" collapsed="false">
      <c r="A50" s="29" t="s">
        <v>42</v>
      </c>
      <c r="B50" s="30"/>
      <c r="C50" s="31"/>
      <c r="D50" s="31" t="n">
        <v>100</v>
      </c>
      <c r="E50" s="31"/>
      <c r="F50" s="31"/>
      <c r="G50" s="31" t="n">
        <v>140</v>
      </c>
      <c r="H50" s="31"/>
      <c r="I50" s="32"/>
      <c r="J50" s="33" t="n">
        <v>140</v>
      </c>
    </row>
    <row r="51" customFormat="false" ht="15" hidden="false" customHeight="false" outlineLevel="0" collapsed="false">
      <c r="A51" s="29" t="s">
        <v>47</v>
      </c>
      <c r="B51" s="30"/>
      <c r="C51" s="31"/>
      <c r="D51" s="31" t="n">
        <v>130</v>
      </c>
      <c r="E51" s="31"/>
      <c r="F51" s="31"/>
      <c r="G51" s="31"/>
      <c r="H51" s="31"/>
      <c r="I51" s="32"/>
      <c r="J51" s="33" t="n">
        <v>130</v>
      </c>
    </row>
    <row r="52" customFormat="false" ht="15" hidden="false" customHeight="false" outlineLevel="0" collapsed="false">
      <c r="A52" s="29" t="s">
        <v>19</v>
      </c>
      <c r="B52" s="30"/>
      <c r="C52" s="31" t="n">
        <v>100</v>
      </c>
      <c r="D52" s="31"/>
      <c r="E52" s="31" t="n">
        <v>250</v>
      </c>
      <c r="F52" s="31" t="n">
        <v>250</v>
      </c>
      <c r="G52" s="31" t="n">
        <v>250</v>
      </c>
      <c r="H52" s="31" t="n">
        <v>220</v>
      </c>
      <c r="I52" s="32"/>
      <c r="J52" s="33" t="n">
        <v>250</v>
      </c>
    </row>
    <row r="53" customFormat="false" ht="15" hidden="false" customHeight="false" outlineLevel="0" collapsed="false">
      <c r="A53" s="29" t="s">
        <v>50</v>
      </c>
      <c r="B53" s="34"/>
      <c r="C53" s="35"/>
      <c r="D53" s="35"/>
      <c r="E53" s="35"/>
      <c r="F53" s="35" t="n">
        <v>70</v>
      </c>
      <c r="G53" s="35"/>
      <c r="H53" s="35"/>
      <c r="I53" s="36"/>
      <c r="J53" s="37" t="n">
        <v>70</v>
      </c>
    </row>
    <row r="54" customFormat="false" ht="15" hidden="false" customHeight="false" outlineLevel="0" collapsed="false">
      <c r="A54" s="38" t="s">
        <v>489</v>
      </c>
      <c r="B54" s="39" t="n">
        <v>210</v>
      </c>
      <c r="C54" s="40" t="n">
        <v>190</v>
      </c>
      <c r="D54" s="40" t="n">
        <v>250</v>
      </c>
      <c r="E54" s="40" t="n">
        <v>250</v>
      </c>
      <c r="F54" s="40" t="n">
        <v>250</v>
      </c>
      <c r="G54" s="40" t="n">
        <v>250</v>
      </c>
      <c r="H54" s="40" t="n">
        <v>230</v>
      </c>
      <c r="I54" s="41" t="n">
        <v>250</v>
      </c>
      <c r="J54" s="42" t="n">
        <v>250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N314" activeCellId="1" sqref="A:A N314"/>
    </sheetView>
  </sheetViews>
  <sheetFormatPr defaultColWidth="8.59765625" defaultRowHeight="15" customHeight="true" zeroHeight="false" outlineLevelRow="0" outlineLevelCol="0"/>
  <cols>
    <col collapsed="false" customWidth="true" hidden="false" outlineLevel="0" max="3" min="3" style="0" width="24.43"/>
  </cols>
  <sheetData>
    <row r="1" customFormat="false" ht="15" hidden="false" customHeight="false" outlineLevel="0" collapsed="false">
      <c r="A1" s="0" t="s">
        <v>59</v>
      </c>
      <c r="B1" s="0" t="s">
        <v>60</v>
      </c>
      <c r="C1" s="0" t="s">
        <v>61</v>
      </c>
      <c r="D1" s="0" t="s">
        <v>62</v>
      </c>
      <c r="E1" s="0" t="s">
        <v>63</v>
      </c>
      <c r="F1" s="0" t="s">
        <v>64</v>
      </c>
      <c r="G1" s="0" t="s">
        <v>65</v>
      </c>
      <c r="H1" s="0" t="s">
        <v>66</v>
      </c>
      <c r="I1" s="0" t="s">
        <v>67</v>
      </c>
      <c r="J1" s="0" t="s">
        <v>68</v>
      </c>
      <c r="K1" s="0" t="s">
        <v>69</v>
      </c>
      <c r="L1" s="0" t="s">
        <v>70</v>
      </c>
      <c r="M1" s="0" t="s">
        <v>0</v>
      </c>
      <c r="N1" s="0" t="s">
        <v>488</v>
      </c>
    </row>
    <row r="2" customFormat="false" ht="15" hidden="false" customHeight="false" outlineLevel="0" collapsed="false">
      <c r="A2" s="0" t="n">
        <v>1</v>
      </c>
      <c r="B2" s="0" t="s">
        <v>71</v>
      </c>
      <c r="C2" s="0" t="s">
        <v>72</v>
      </c>
      <c r="D2" s="0" t="s">
        <v>249</v>
      </c>
      <c r="E2" s="4" t="n">
        <v>1.50902777777778</v>
      </c>
      <c r="F2" s="0" t="n">
        <v>250</v>
      </c>
      <c r="G2" s="0" t="n">
        <v>250</v>
      </c>
      <c r="H2" s="0" t="n">
        <v>8.14</v>
      </c>
      <c r="I2" s="0" t="s">
        <v>74</v>
      </c>
      <c r="J2" s="0" t="s">
        <v>75</v>
      </c>
      <c r="K2" s="5" t="n">
        <v>45765</v>
      </c>
      <c r="L2" s="0" t="n">
        <v>50</v>
      </c>
      <c r="M2" s="0" t="str">
        <f aca="false">CONCATENATE(B2," ",C2)</f>
        <v>Tom Fryers</v>
      </c>
      <c r="N2" s="0" t="s">
        <v>5</v>
      </c>
    </row>
    <row r="3" customFormat="false" ht="15" hidden="false" customHeight="false" outlineLevel="0" collapsed="false">
      <c r="A3" s="0" t="n">
        <v>2</v>
      </c>
      <c r="B3" s="0" t="s">
        <v>94</v>
      </c>
      <c r="C3" s="0" t="s">
        <v>72</v>
      </c>
      <c r="D3" s="0" t="s">
        <v>249</v>
      </c>
      <c r="E3" s="4" t="n">
        <v>1.57291666666667</v>
      </c>
      <c r="F3" s="0" t="n">
        <v>250</v>
      </c>
      <c r="G3" s="0" t="n">
        <v>250</v>
      </c>
      <c r="H3" s="0" t="n">
        <v>8.16</v>
      </c>
      <c r="I3" s="0" t="s">
        <v>83</v>
      </c>
      <c r="J3" s="0" t="s">
        <v>96</v>
      </c>
      <c r="K3" s="5" t="n">
        <v>45765</v>
      </c>
      <c r="L3" s="0" t="n">
        <v>17</v>
      </c>
      <c r="M3" s="0" t="str">
        <f aca="false">CONCATENATE(B3," ",C3)</f>
        <v>James Fryers</v>
      </c>
      <c r="N3" s="0" t="s">
        <v>5</v>
      </c>
    </row>
    <row r="4" customFormat="false" ht="15" hidden="false" customHeight="false" outlineLevel="0" collapsed="false">
      <c r="A4" s="0" t="n">
        <v>3</v>
      </c>
      <c r="B4" s="0" t="s">
        <v>80</v>
      </c>
      <c r="C4" s="0" t="s">
        <v>81</v>
      </c>
      <c r="D4" s="0" t="s">
        <v>250</v>
      </c>
      <c r="E4" s="4" t="n">
        <v>1.63819444444444</v>
      </c>
      <c r="F4" s="0" t="n">
        <v>250</v>
      </c>
      <c r="G4" s="0" t="n">
        <v>250</v>
      </c>
      <c r="H4" s="0" t="n">
        <v>8.37</v>
      </c>
      <c r="I4" s="0" t="s">
        <v>87</v>
      </c>
      <c r="J4" s="0" t="s">
        <v>84</v>
      </c>
      <c r="K4" s="5" t="n">
        <v>45808</v>
      </c>
      <c r="L4" s="0" t="n">
        <v>63</v>
      </c>
      <c r="M4" s="0" t="str">
        <f aca="false">CONCATENATE(B4," ",C4)</f>
        <v>Anthony Wright</v>
      </c>
      <c r="N4" s="0" t="s">
        <v>5</v>
      </c>
    </row>
    <row r="5" customFormat="false" ht="15" hidden="false" customHeight="false" outlineLevel="0" collapsed="false">
      <c r="A5" s="0" t="n">
        <v>4</v>
      </c>
      <c r="B5" s="0" t="s">
        <v>80</v>
      </c>
      <c r="C5" s="0" t="s">
        <v>81</v>
      </c>
      <c r="D5" s="0" t="s">
        <v>250</v>
      </c>
      <c r="E5" s="4" t="n">
        <v>1.63958333333333</v>
      </c>
      <c r="F5" s="0" t="n">
        <v>250</v>
      </c>
      <c r="G5" s="0" t="n">
        <v>250</v>
      </c>
      <c r="H5" s="0" t="n">
        <v>8.37</v>
      </c>
      <c r="I5" s="0" t="s">
        <v>92</v>
      </c>
      <c r="J5" s="0" t="s">
        <v>93</v>
      </c>
      <c r="K5" s="5" t="n">
        <v>45808</v>
      </c>
      <c r="L5" s="0" t="n">
        <v>62</v>
      </c>
      <c r="M5" s="0" t="str">
        <f aca="false">CONCATENATE(B5," ",C5)</f>
        <v>Anthony Wright</v>
      </c>
      <c r="N5" s="0" t="s">
        <v>5</v>
      </c>
    </row>
    <row r="6" customFormat="false" ht="15" hidden="false" customHeight="false" outlineLevel="0" collapsed="false">
      <c r="A6" s="0" t="n">
        <v>5</v>
      </c>
      <c r="B6" s="0" t="s">
        <v>85</v>
      </c>
      <c r="C6" s="0" t="s">
        <v>86</v>
      </c>
      <c r="D6" s="0" t="s">
        <v>251</v>
      </c>
      <c r="E6" s="4" t="n">
        <v>1.65625</v>
      </c>
      <c r="F6" s="0" t="n">
        <v>250</v>
      </c>
      <c r="G6" s="0" t="n">
        <v>250</v>
      </c>
      <c r="H6" s="0" t="n">
        <v>8.16</v>
      </c>
      <c r="I6" s="0" t="s">
        <v>95</v>
      </c>
      <c r="J6" s="0" t="s">
        <v>88</v>
      </c>
      <c r="K6" s="5" t="n">
        <v>45782</v>
      </c>
      <c r="L6" s="0" t="n">
        <v>56</v>
      </c>
      <c r="M6" s="0" t="str">
        <f aca="false">CONCATENATE(B6," ",C6)</f>
        <v>Jon Hallam</v>
      </c>
      <c r="N6" s="0" t="s">
        <v>5</v>
      </c>
    </row>
    <row r="7" customFormat="false" ht="15" hidden="false" customHeight="false" outlineLevel="0" collapsed="false">
      <c r="A7" s="0" t="n">
        <v>6</v>
      </c>
      <c r="B7" s="0" t="s">
        <v>85</v>
      </c>
      <c r="C7" s="0" t="s">
        <v>86</v>
      </c>
      <c r="D7" s="0" t="s">
        <v>250</v>
      </c>
      <c r="E7" s="4" t="n">
        <v>1.65763888888889</v>
      </c>
      <c r="F7" s="0" t="n">
        <v>250</v>
      </c>
      <c r="G7" s="0" t="n">
        <v>250</v>
      </c>
      <c r="H7" s="0" t="n">
        <v>8.48</v>
      </c>
      <c r="I7" s="0" t="s">
        <v>97</v>
      </c>
      <c r="J7" s="0" t="s">
        <v>98</v>
      </c>
      <c r="K7" s="5" t="n">
        <v>45797</v>
      </c>
      <c r="L7" s="0" t="n">
        <v>5</v>
      </c>
      <c r="M7" s="0" t="str">
        <f aca="false">CONCATENATE(B7," ",C7)</f>
        <v>Jon Hallam</v>
      </c>
      <c r="N7" s="0" t="s">
        <v>5</v>
      </c>
    </row>
    <row r="8" customFormat="false" ht="15" hidden="false" customHeight="false" outlineLevel="0" collapsed="false">
      <c r="A8" s="0" t="n">
        <v>7</v>
      </c>
      <c r="B8" s="0" t="s">
        <v>85</v>
      </c>
      <c r="C8" s="0" t="s">
        <v>86</v>
      </c>
      <c r="D8" s="0" t="s">
        <v>251</v>
      </c>
      <c r="E8" s="4" t="n">
        <v>1.65902777777778</v>
      </c>
      <c r="F8" s="0" t="n">
        <v>250</v>
      </c>
      <c r="G8" s="0" t="n">
        <v>250</v>
      </c>
      <c r="H8" s="0" t="n">
        <v>8.27</v>
      </c>
      <c r="I8" s="0" t="s">
        <v>105</v>
      </c>
      <c r="J8" s="0" t="s">
        <v>252</v>
      </c>
      <c r="K8" s="5" t="n">
        <v>45802</v>
      </c>
      <c r="L8" s="0" t="n">
        <v>4</v>
      </c>
      <c r="M8" s="0" t="str">
        <f aca="false">CONCATENATE(B8," ",C8)</f>
        <v>Jon Hallam</v>
      </c>
      <c r="N8" s="0" t="s">
        <v>5</v>
      </c>
    </row>
    <row r="9" customFormat="false" ht="15" hidden="false" customHeight="false" outlineLevel="0" collapsed="false">
      <c r="A9" s="0" t="n">
        <v>8</v>
      </c>
      <c r="B9" s="0" t="s">
        <v>76</v>
      </c>
      <c r="C9" s="0" t="s">
        <v>77</v>
      </c>
      <c r="D9" s="0" t="s">
        <v>253</v>
      </c>
      <c r="E9" s="7" t="n">
        <v>0</v>
      </c>
      <c r="F9" s="0" t="n">
        <v>230</v>
      </c>
      <c r="G9" s="0" t="n">
        <v>230</v>
      </c>
      <c r="H9" s="0" t="n">
        <v>7.65</v>
      </c>
      <c r="I9" s="0" t="s">
        <v>78</v>
      </c>
      <c r="J9" s="0" t="s">
        <v>79</v>
      </c>
      <c r="K9" s="5" t="n">
        <v>45805</v>
      </c>
      <c r="L9" s="0" t="n">
        <v>37</v>
      </c>
      <c r="M9" s="0" t="str">
        <f aca="false">CONCATENATE(B9," ",C9)</f>
        <v>Rogers Flynn</v>
      </c>
      <c r="N9" s="0" t="s">
        <v>5</v>
      </c>
    </row>
    <row r="10" customFormat="false" ht="15" hidden="false" customHeight="false" outlineLevel="0" collapsed="false">
      <c r="A10" s="0" t="n">
        <v>9</v>
      </c>
      <c r="B10" s="0" t="s">
        <v>85</v>
      </c>
      <c r="C10" s="0" t="s">
        <v>86</v>
      </c>
      <c r="D10" s="0" t="s">
        <v>254</v>
      </c>
      <c r="E10" s="4" t="n">
        <v>1.53958333333333</v>
      </c>
      <c r="F10" s="0" t="n">
        <v>230</v>
      </c>
      <c r="G10" s="0" t="n">
        <v>230</v>
      </c>
      <c r="H10" s="0" t="n">
        <v>7.99</v>
      </c>
      <c r="I10" s="0" t="s">
        <v>110</v>
      </c>
      <c r="J10" s="0" t="s">
        <v>255</v>
      </c>
      <c r="K10" s="5" t="n">
        <v>45754</v>
      </c>
      <c r="L10" s="0" t="n">
        <v>22</v>
      </c>
      <c r="M10" s="0" t="str">
        <f aca="false">CONCATENATE(B10," ",C10)</f>
        <v>Jon Hallam</v>
      </c>
      <c r="N10" s="0" t="s">
        <v>5</v>
      </c>
    </row>
    <row r="11" customFormat="false" ht="15" hidden="false" customHeight="false" outlineLevel="0" collapsed="false">
      <c r="A11" s="0" t="n">
        <v>10</v>
      </c>
      <c r="B11" s="0" t="s">
        <v>89</v>
      </c>
      <c r="C11" s="0" t="s">
        <v>90</v>
      </c>
      <c r="D11" s="0" t="s">
        <v>256</v>
      </c>
      <c r="E11" s="4" t="n">
        <v>1.5875</v>
      </c>
      <c r="F11" s="0" t="n">
        <v>230</v>
      </c>
      <c r="G11" s="0" t="n">
        <v>230</v>
      </c>
      <c r="H11" s="0" t="n">
        <v>7.5</v>
      </c>
      <c r="I11" s="0" t="s">
        <v>117</v>
      </c>
      <c r="J11" s="0" t="s">
        <v>111</v>
      </c>
      <c r="K11" s="5" t="n">
        <v>45800</v>
      </c>
      <c r="L11" s="0" t="n">
        <v>19</v>
      </c>
      <c r="M11" s="0" t="str">
        <f aca="false">CONCATENATE(B11," ",C11)</f>
        <v>Shaun Swallow</v>
      </c>
      <c r="N11" s="0" t="s">
        <v>5</v>
      </c>
    </row>
    <row r="12" customFormat="false" ht="15" hidden="false" customHeight="false" outlineLevel="0" collapsed="false">
      <c r="A12" s="0" t="n">
        <v>11</v>
      </c>
      <c r="B12" s="0" t="s">
        <v>80</v>
      </c>
      <c r="C12" s="0" t="s">
        <v>81</v>
      </c>
      <c r="D12" s="0" t="s">
        <v>257</v>
      </c>
      <c r="E12" s="4" t="n">
        <v>1.63402777777778</v>
      </c>
      <c r="F12" s="0" t="n">
        <v>230</v>
      </c>
      <c r="G12" s="0" t="n">
        <v>230</v>
      </c>
      <c r="H12" s="0" t="n">
        <v>8.34</v>
      </c>
      <c r="I12" s="0" t="s">
        <v>121</v>
      </c>
      <c r="J12" s="0" t="s">
        <v>134</v>
      </c>
      <c r="K12" s="5" t="n">
        <v>45807</v>
      </c>
      <c r="L12" s="0" t="n">
        <v>59</v>
      </c>
      <c r="M12" s="0" t="str">
        <f aca="false">CONCATENATE(B12," ",C12)</f>
        <v>Anthony Wright</v>
      </c>
      <c r="N12" s="0" t="s">
        <v>5</v>
      </c>
    </row>
    <row r="13" customFormat="false" ht="15" hidden="false" customHeight="false" outlineLevel="0" collapsed="false">
      <c r="A13" s="0" t="n">
        <v>12</v>
      </c>
      <c r="B13" s="0" t="s">
        <v>80</v>
      </c>
      <c r="C13" s="0" t="s">
        <v>81</v>
      </c>
      <c r="D13" s="0" t="s">
        <v>258</v>
      </c>
      <c r="E13" s="4" t="n">
        <v>1.69722222222222</v>
      </c>
      <c r="F13" s="0" t="n">
        <v>240</v>
      </c>
      <c r="G13" s="0" t="n">
        <v>230</v>
      </c>
      <c r="H13" s="0" t="n">
        <v>8.56</v>
      </c>
      <c r="I13" s="0" t="s">
        <v>133</v>
      </c>
      <c r="J13" s="0" t="s">
        <v>141</v>
      </c>
      <c r="K13" s="5" t="n">
        <v>45772</v>
      </c>
      <c r="L13" s="0" t="n">
        <v>6</v>
      </c>
      <c r="M13" s="0" t="str">
        <f aca="false">CONCATENATE(B13," ",C13)</f>
        <v>Anthony Wright</v>
      </c>
      <c r="N13" s="0" t="s">
        <v>5</v>
      </c>
    </row>
    <row r="14" customFormat="false" ht="15" hidden="false" customHeight="false" outlineLevel="0" collapsed="false">
      <c r="A14" s="0" t="n">
        <v>13</v>
      </c>
      <c r="B14" s="0" t="s">
        <v>85</v>
      </c>
      <c r="C14" s="0" t="s">
        <v>86</v>
      </c>
      <c r="D14" s="0" t="s">
        <v>259</v>
      </c>
      <c r="E14" s="4" t="n">
        <v>1.74375</v>
      </c>
      <c r="F14" s="0" t="n">
        <v>250</v>
      </c>
      <c r="G14" s="0" t="n">
        <v>230</v>
      </c>
      <c r="H14" s="0" t="n">
        <v>8.89</v>
      </c>
      <c r="I14" s="0" t="s">
        <v>138</v>
      </c>
      <c r="J14" s="0" t="s">
        <v>260</v>
      </c>
      <c r="K14" s="5" t="n">
        <v>45757</v>
      </c>
      <c r="L14" s="0" t="n">
        <v>32</v>
      </c>
      <c r="M14" s="0" t="str">
        <f aca="false">CONCATENATE(B14," ",C14)</f>
        <v>Jon Hallam</v>
      </c>
      <c r="N14" s="0" t="s">
        <v>5</v>
      </c>
    </row>
    <row r="15" customFormat="false" ht="15" hidden="false" customHeight="false" outlineLevel="0" collapsed="false">
      <c r="A15" s="0" t="n">
        <v>14</v>
      </c>
      <c r="B15" s="0" t="s">
        <v>114</v>
      </c>
      <c r="C15" s="0" t="s">
        <v>115</v>
      </c>
      <c r="D15" s="0" t="s">
        <v>261</v>
      </c>
      <c r="E15" s="4" t="n">
        <v>1.51180555555556</v>
      </c>
      <c r="F15" s="0" t="n">
        <v>220</v>
      </c>
      <c r="G15" s="0" t="n">
        <v>220</v>
      </c>
      <c r="H15" s="0" t="n">
        <v>7.05</v>
      </c>
      <c r="I15" s="0" t="s">
        <v>140</v>
      </c>
      <c r="J15" s="0" t="s">
        <v>118</v>
      </c>
      <c r="K15" s="5" t="n">
        <v>45792</v>
      </c>
      <c r="L15" s="0" t="n">
        <v>31</v>
      </c>
      <c r="M15" s="0" t="str">
        <f aca="false">CONCATENATE(B15," ",C15)</f>
        <v>Michael Nicholson</v>
      </c>
      <c r="N15" s="0" t="s">
        <v>5</v>
      </c>
    </row>
    <row r="16" customFormat="false" ht="15" hidden="false" customHeight="false" outlineLevel="0" collapsed="false">
      <c r="A16" s="0" t="n">
        <v>15</v>
      </c>
      <c r="B16" s="0" t="s">
        <v>89</v>
      </c>
      <c r="C16" s="0" t="s">
        <v>90</v>
      </c>
      <c r="D16" s="0" t="s">
        <v>262</v>
      </c>
      <c r="E16" s="4" t="n">
        <v>1.54097222222222</v>
      </c>
      <c r="F16" s="0" t="n">
        <v>220</v>
      </c>
      <c r="G16" s="0" t="n">
        <v>220</v>
      </c>
      <c r="H16" s="0" t="n">
        <v>6.94</v>
      </c>
      <c r="I16" s="0" t="s">
        <v>142</v>
      </c>
      <c r="J16" s="0" t="s">
        <v>143</v>
      </c>
      <c r="K16" s="5" t="n">
        <v>45781</v>
      </c>
      <c r="L16" s="0" t="n">
        <v>24</v>
      </c>
      <c r="M16" s="0" t="str">
        <f aca="false">CONCATENATE(B16," ",C16)</f>
        <v>Shaun Swallow</v>
      </c>
      <c r="N16" s="0" t="s">
        <v>5</v>
      </c>
    </row>
    <row r="17" customFormat="false" ht="15" hidden="false" customHeight="false" outlineLevel="0" collapsed="false">
      <c r="A17" s="0" t="n">
        <v>16</v>
      </c>
      <c r="B17" s="0" t="s">
        <v>263</v>
      </c>
      <c r="C17" s="0" t="s">
        <v>264</v>
      </c>
      <c r="D17" s="0" t="s">
        <v>261</v>
      </c>
      <c r="E17" s="4" t="n">
        <v>1.56805555555556</v>
      </c>
      <c r="F17" s="0" t="n">
        <v>220</v>
      </c>
      <c r="G17" s="0" t="n">
        <v>220</v>
      </c>
      <c r="H17" s="0" t="n">
        <v>7.02</v>
      </c>
      <c r="I17" s="0" t="s">
        <v>144</v>
      </c>
      <c r="J17" s="0" t="s">
        <v>265</v>
      </c>
      <c r="K17" s="5" t="n">
        <v>45792</v>
      </c>
      <c r="L17" s="0" t="n">
        <v>21</v>
      </c>
      <c r="M17" s="0" t="str">
        <f aca="false">CONCATENATE(B17," ",C17)</f>
        <v>Kent Swanson</v>
      </c>
      <c r="N17" s="0" t="s">
        <v>5</v>
      </c>
    </row>
    <row r="18" customFormat="false" ht="15" hidden="false" customHeight="false" outlineLevel="0" collapsed="false">
      <c r="A18" s="0" t="n">
        <v>17</v>
      </c>
      <c r="B18" s="0" t="s">
        <v>103</v>
      </c>
      <c r="C18" s="0" t="s">
        <v>104</v>
      </c>
      <c r="D18" s="0" t="s">
        <v>261</v>
      </c>
      <c r="E18" s="4" t="n">
        <v>1.57361111111111</v>
      </c>
      <c r="F18" s="0" t="n">
        <v>220</v>
      </c>
      <c r="G18" s="0" t="n">
        <v>220</v>
      </c>
      <c r="H18" s="0" t="n">
        <v>7</v>
      </c>
      <c r="I18" s="0" t="s">
        <v>149</v>
      </c>
      <c r="J18" s="0" t="s">
        <v>106</v>
      </c>
      <c r="K18" s="5" t="n">
        <v>45792</v>
      </c>
      <c r="L18" s="0" t="n">
        <v>29</v>
      </c>
      <c r="M18" s="0" t="str">
        <f aca="false">CONCATENATE(B18," ",C18)</f>
        <v>Chris Baldwin</v>
      </c>
      <c r="N18" s="0" t="s">
        <v>5</v>
      </c>
    </row>
    <row r="19" customFormat="false" ht="15" hidden="false" customHeight="false" outlineLevel="0" collapsed="false">
      <c r="A19" s="0" t="n">
        <v>18</v>
      </c>
      <c r="B19" s="0" t="s">
        <v>266</v>
      </c>
      <c r="C19" s="0" t="s">
        <v>267</v>
      </c>
      <c r="D19" s="0" t="s">
        <v>262</v>
      </c>
      <c r="E19" s="4" t="n">
        <v>1.62708333333333</v>
      </c>
      <c r="F19" s="0" t="n">
        <v>220</v>
      </c>
      <c r="G19" s="0" t="n">
        <v>220</v>
      </c>
      <c r="H19" s="0" t="n">
        <v>7</v>
      </c>
      <c r="I19" s="0" t="s">
        <v>151</v>
      </c>
      <c r="J19" s="0" t="s">
        <v>268</v>
      </c>
      <c r="K19" s="5" t="n">
        <v>45760</v>
      </c>
      <c r="L19" s="0" t="n">
        <v>26</v>
      </c>
      <c r="M19" s="0" t="str">
        <f aca="false">CONCATENATE(B19," ",C19)</f>
        <v>Dave Lovatt</v>
      </c>
      <c r="N19" s="0" t="s">
        <v>5</v>
      </c>
    </row>
    <row r="20" customFormat="false" ht="15" hidden="false" customHeight="false" outlineLevel="0" collapsed="false">
      <c r="A20" s="0" t="n">
        <v>19</v>
      </c>
      <c r="B20" s="0" t="s">
        <v>99</v>
      </c>
      <c r="C20" s="0" t="s">
        <v>100</v>
      </c>
      <c r="D20" s="0" t="s">
        <v>262</v>
      </c>
      <c r="E20" s="4" t="n">
        <v>1.62986111111111</v>
      </c>
      <c r="F20" s="0" t="n">
        <v>220</v>
      </c>
      <c r="G20" s="0" t="n">
        <v>220</v>
      </c>
      <c r="H20" s="0" t="n">
        <v>7.1</v>
      </c>
      <c r="I20" s="0" t="s">
        <v>101</v>
      </c>
      <c r="J20" s="0" t="s">
        <v>102</v>
      </c>
      <c r="K20" s="5" t="n">
        <v>45775</v>
      </c>
      <c r="L20" s="0" t="n">
        <v>46</v>
      </c>
      <c r="M20" s="0" t="str">
        <f aca="false">CONCATENATE(B20," ",C20)</f>
        <v>Jemma Williams</v>
      </c>
      <c r="N20" s="0" t="s">
        <v>5</v>
      </c>
    </row>
    <row r="21" customFormat="false" ht="15" hidden="false" customHeight="false" outlineLevel="0" collapsed="false">
      <c r="A21" s="0" t="n">
        <v>20</v>
      </c>
      <c r="B21" s="0" t="s">
        <v>131</v>
      </c>
      <c r="C21" s="0" t="s">
        <v>72</v>
      </c>
      <c r="D21" s="0" t="s">
        <v>269</v>
      </c>
      <c r="E21" s="4" t="n">
        <v>1.63333333333333</v>
      </c>
      <c r="F21" s="0" t="n">
        <v>220</v>
      </c>
      <c r="G21" s="0" t="n">
        <v>220</v>
      </c>
      <c r="H21" s="0" t="n">
        <v>6.87</v>
      </c>
      <c r="I21" s="0" t="s">
        <v>154</v>
      </c>
      <c r="J21" s="0" t="s">
        <v>155</v>
      </c>
      <c r="K21" s="5" t="n">
        <v>45802</v>
      </c>
      <c r="L21" s="0" t="n">
        <v>48</v>
      </c>
      <c r="M21" s="0" t="str">
        <f aca="false">CONCATENATE(B21," ",C21)</f>
        <v>Paul Fryers</v>
      </c>
      <c r="N21" s="0" t="s">
        <v>5</v>
      </c>
    </row>
    <row r="22" customFormat="false" ht="15" hidden="false" customHeight="false" outlineLevel="0" collapsed="false">
      <c r="A22" s="0" t="n">
        <v>21</v>
      </c>
      <c r="B22" s="0" t="s">
        <v>80</v>
      </c>
      <c r="C22" s="0" t="s">
        <v>81</v>
      </c>
      <c r="D22" s="0" t="s">
        <v>270</v>
      </c>
      <c r="E22" s="4" t="n">
        <v>1.63541666666667</v>
      </c>
      <c r="F22" s="0" t="n">
        <v>220</v>
      </c>
      <c r="G22" s="0" t="n">
        <v>220</v>
      </c>
      <c r="H22" s="0" t="n">
        <v>8.3</v>
      </c>
      <c r="I22" s="0" t="s">
        <v>157</v>
      </c>
      <c r="J22" s="0" t="s">
        <v>161</v>
      </c>
      <c r="K22" s="5" t="n">
        <v>45807</v>
      </c>
      <c r="L22" s="0" t="n">
        <v>60</v>
      </c>
      <c r="M22" s="0" t="str">
        <f aca="false">CONCATENATE(B22," ",C22)</f>
        <v>Anthony Wright</v>
      </c>
      <c r="N22" s="0" t="s">
        <v>5</v>
      </c>
    </row>
    <row r="23" customFormat="false" ht="15" hidden="false" customHeight="false" outlineLevel="0" collapsed="false">
      <c r="A23" s="0" t="n">
        <v>22</v>
      </c>
      <c r="B23" s="0" t="s">
        <v>103</v>
      </c>
      <c r="C23" s="0" t="s">
        <v>104</v>
      </c>
      <c r="D23" s="0" t="s">
        <v>271</v>
      </c>
      <c r="E23" s="4" t="n">
        <v>1.59652777777778</v>
      </c>
      <c r="F23" s="0" t="n">
        <v>210</v>
      </c>
      <c r="G23" s="0" t="n">
        <v>210</v>
      </c>
      <c r="H23" s="0" t="n">
        <v>6.89</v>
      </c>
      <c r="I23" s="0" t="s">
        <v>160</v>
      </c>
      <c r="J23" s="0" t="s">
        <v>145</v>
      </c>
      <c r="K23" s="5" t="n">
        <v>45788</v>
      </c>
      <c r="L23" s="0" t="n">
        <v>54</v>
      </c>
      <c r="M23" s="0" t="str">
        <f aca="false">CONCATENATE(B23," ",C23)</f>
        <v>Chris Baldwin</v>
      </c>
      <c r="N23" s="0" t="s">
        <v>5</v>
      </c>
    </row>
    <row r="24" customFormat="false" ht="15" hidden="false" customHeight="false" outlineLevel="0" collapsed="false">
      <c r="A24" s="0" t="n">
        <v>23</v>
      </c>
      <c r="B24" s="0" t="s">
        <v>107</v>
      </c>
      <c r="C24" s="0" t="s">
        <v>108</v>
      </c>
      <c r="D24" s="0" t="s">
        <v>271</v>
      </c>
      <c r="E24" s="4" t="n">
        <v>1.63541666666667</v>
      </c>
      <c r="F24" s="0" t="n">
        <v>210</v>
      </c>
      <c r="G24" s="0" t="n">
        <v>210</v>
      </c>
      <c r="H24" s="0" t="n">
        <v>6.74</v>
      </c>
      <c r="I24" s="0" t="s">
        <v>164</v>
      </c>
      <c r="J24" s="0" t="s">
        <v>165</v>
      </c>
      <c r="K24" s="5" t="n">
        <v>45789</v>
      </c>
      <c r="L24" s="0" t="n">
        <v>20</v>
      </c>
      <c r="M24" s="0" t="str">
        <f aca="false">CONCATENATE(B24," ",C24)</f>
        <v>Dean Allcroft</v>
      </c>
      <c r="N24" s="0" t="s">
        <v>5</v>
      </c>
    </row>
    <row r="25" customFormat="false" ht="15" hidden="false" customHeight="false" outlineLevel="0" collapsed="false">
      <c r="A25" s="0" t="n">
        <v>24</v>
      </c>
      <c r="B25" s="0" t="s">
        <v>103</v>
      </c>
      <c r="C25" s="0" t="s">
        <v>104</v>
      </c>
      <c r="D25" s="0" t="s">
        <v>272</v>
      </c>
      <c r="E25" s="4" t="n">
        <v>1.45555555555556</v>
      </c>
      <c r="F25" s="0" t="n">
        <v>200</v>
      </c>
      <c r="G25" s="0" t="n">
        <v>200</v>
      </c>
      <c r="H25" s="0" t="n">
        <v>6.44</v>
      </c>
      <c r="I25" s="0" t="s">
        <v>167</v>
      </c>
      <c r="J25" s="0" t="s">
        <v>222</v>
      </c>
      <c r="K25" s="5" t="n">
        <v>45781</v>
      </c>
      <c r="L25" s="0" t="n">
        <v>27</v>
      </c>
      <c r="M25" s="0" t="str">
        <f aca="false">CONCATENATE(B25," ",C25)</f>
        <v>Chris Baldwin</v>
      </c>
      <c r="N25" s="0" t="s">
        <v>5</v>
      </c>
    </row>
    <row r="26" customFormat="false" ht="15" hidden="false" customHeight="false" outlineLevel="0" collapsed="false">
      <c r="A26" s="0" t="n">
        <v>25</v>
      </c>
      <c r="B26" s="0" t="s">
        <v>89</v>
      </c>
      <c r="C26" s="0" t="s">
        <v>90</v>
      </c>
      <c r="D26" s="0" t="s">
        <v>273</v>
      </c>
      <c r="E26" s="4" t="n">
        <v>1.49375</v>
      </c>
      <c r="F26" s="0" t="n">
        <v>200</v>
      </c>
      <c r="G26" s="0" t="n">
        <v>200</v>
      </c>
      <c r="H26" s="0" t="n">
        <v>6.61</v>
      </c>
      <c r="I26" s="0" t="s">
        <v>172</v>
      </c>
      <c r="J26" s="0" t="s">
        <v>168</v>
      </c>
      <c r="K26" s="5" t="n">
        <v>45757</v>
      </c>
      <c r="L26" s="0" t="n">
        <v>36</v>
      </c>
      <c r="M26" s="0" t="str">
        <f aca="false">CONCATENATE(B26," ",C26)</f>
        <v>Shaun Swallow</v>
      </c>
      <c r="N26" s="0" t="s">
        <v>5</v>
      </c>
    </row>
    <row r="27" customFormat="false" ht="15" hidden="false" customHeight="false" outlineLevel="0" collapsed="false">
      <c r="A27" s="0" t="n">
        <v>26</v>
      </c>
      <c r="B27" s="0" t="s">
        <v>123</v>
      </c>
      <c r="C27" s="0" t="s">
        <v>124</v>
      </c>
      <c r="D27" s="0" t="s">
        <v>274</v>
      </c>
      <c r="E27" s="4" t="n">
        <v>1.56111111111111</v>
      </c>
      <c r="F27" s="0" t="n">
        <v>200</v>
      </c>
      <c r="G27" s="0" t="n">
        <v>200</v>
      </c>
      <c r="H27" s="0" t="n">
        <v>6.58</v>
      </c>
      <c r="I27" s="0" t="s">
        <v>125</v>
      </c>
      <c r="J27" s="0" t="s">
        <v>126</v>
      </c>
      <c r="K27" s="5" t="n">
        <v>45799</v>
      </c>
      <c r="L27" s="0" t="n">
        <v>2</v>
      </c>
      <c r="M27" s="0" t="str">
        <f aca="false">CONCATENATE(B27," ",C27)</f>
        <v>Jill Scrivens</v>
      </c>
      <c r="N27" s="0" t="s">
        <v>5</v>
      </c>
    </row>
    <row r="28" customFormat="false" ht="15" hidden="false" customHeight="false" outlineLevel="0" collapsed="false">
      <c r="A28" s="0" t="n">
        <v>27</v>
      </c>
      <c r="B28" s="0" t="s">
        <v>127</v>
      </c>
      <c r="C28" s="0" t="s">
        <v>128</v>
      </c>
      <c r="D28" s="0" t="s">
        <v>274</v>
      </c>
      <c r="E28" s="4" t="n">
        <v>1.56111111111111</v>
      </c>
      <c r="F28" s="0" t="n">
        <v>200</v>
      </c>
      <c r="G28" s="0" t="n">
        <v>200</v>
      </c>
      <c r="H28" s="0" t="n">
        <v>6.73</v>
      </c>
      <c r="I28" s="0" t="s">
        <v>129</v>
      </c>
      <c r="J28" s="0" t="s">
        <v>130</v>
      </c>
      <c r="K28" s="5" t="n">
        <v>45799</v>
      </c>
      <c r="L28" s="0" t="n">
        <v>25</v>
      </c>
      <c r="M28" s="0" t="str">
        <f aca="false">CONCATENATE(B28," ",C28)</f>
        <v>Gemma Nutton</v>
      </c>
      <c r="N28" s="0" t="s">
        <v>5</v>
      </c>
    </row>
    <row r="29" customFormat="false" ht="15" hidden="false" customHeight="false" outlineLevel="0" collapsed="false">
      <c r="A29" s="0" t="n">
        <v>28</v>
      </c>
      <c r="B29" s="0" t="s">
        <v>135</v>
      </c>
      <c r="C29" s="0" t="s">
        <v>136</v>
      </c>
      <c r="D29" s="0" t="s">
        <v>275</v>
      </c>
      <c r="E29" s="4" t="n">
        <v>1.56458333333333</v>
      </c>
      <c r="F29" s="0" t="n">
        <v>190</v>
      </c>
      <c r="G29" s="0" t="n">
        <v>190</v>
      </c>
      <c r="H29" s="0" t="n">
        <v>6.26</v>
      </c>
      <c r="I29" s="0" t="s">
        <v>175</v>
      </c>
      <c r="J29" s="0" t="s">
        <v>139</v>
      </c>
      <c r="K29" s="5" t="n">
        <v>45754</v>
      </c>
      <c r="L29" s="0" t="n">
        <v>47</v>
      </c>
      <c r="M29" s="0" t="str">
        <f aca="false">CONCATENATE(B29," ",C29)</f>
        <v>Alan Knox</v>
      </c>
      <c r="N29" s="0" t="s">
        <v>5</v>
      </c>
    </row>
    <row r="30" customFormat="false" ht="15" hidden="false" customHeight="false" outlineLevel="0" collapsed="false">
      <c r="A30" s="0" t="n">
        <v>29</v>
      </c>
      <c r="B30" s="0" t="s">
        <v>107</v>
      </c>
      <c r="C30" s="0" t="s">
        <v>108</v>
      </c>
      <c r="D30" s="0" t="s">
        <v>276</v>
      </c>
      <c r="E30" s="4" t="n">
        <v>1.60972222222222</v>
      </c>
      <c r="F30" s="0" t="n">
        <v>190</v>
      </c>
      <c r="G30" s="0" t="n">
        <v>190</v>
      </c>
      <c r="H30" s="0" t="n">
        <v>6.73</v>
      </c>
      <c r="I30" s="0" t="s">
        <v>184</v>
      </c>
      <c r="J30" s="0" t="s">
        <v>233</v>
      </c>
      <c r="K30" s="5" t="n">
        <v>45781</v>
      </c>
      <c r="L30" s="0" t="n">
        <v>9</v>
      </c>
      <c r="M30" s="0" t="str">
        <f aca="false">CONCATENATE(B30," ",C30)</f>
        <v>Dean Allcroft</v>
      </c>
      <c r="N30" s="0" t="s">
        <v>5</v>
      </c>
    </row>
    <row r="31" customFormat="false" ht="15" hidden="false" customHeight="false" outlineLevel="0" collapsed="false">
      <c r="A31" s="0" t="n">
        <v>30</v>
      </c>
      <c r="B31" s="0" t="s">
        <v>119</v>
      </c>
      <c r="C31" s="0" t="s">
        <v>120</v>
      </c>
      <c r="D31" s="0" t="s">
        <v>275</v>
      </c>
      <c r="E31" s="4" t="n">
        <v>1.63888888888889</v>
      </c>
      <c r="F31" s="0" t="n">
        <v>190</v>
      </c>
      <c r="G31" s="0" t="n">
        <v>190</v>
      </c>
      <c r="H31" s="0" t="n">
        <v>6.39</v>
      </c>
      <c r="I31" s="0" t="s">
        <v>192</v>
      </c>
      <c r="J31" s="0" t="s">
        <v>122</v>
      </c>
      <c r="K31" s="5" t="n">
        <v>45750</v>
      </c>
      <c r="L31" s="0" t="n">
        <v>43</v>
      </c>
      <c r="M31" s="0" t="str">
        <f aca="false">CONCATENATE(B31," ",C31)</f>
        <v>Steve Dickinson</v>
      </c>
      <c r="N31" s="0" t="s">
        <v>5</v>
      </c>
    </row>
    <row r="32" customFormat="false" ht="15" hidden="false" customHeight="false" outlineLevel="0" collapsed="false">
      <c r="A32" s="0" t="n">
        <v>31</v>
      </c>
      <c r="B32" s="0" t="s">
        <v>146</v>
      </c>
      <c r="C32" s="0" t="s">
        <v>147</v>
      </c>
      <c r="D32" s="0" t="s">
        <v>277</v>
      </c>
      <c r="E32" s="4" t="n">
        <v>1.49861111111111</v>
      </c>
      <c r="F32" s="0" t="n">
        <v>180</v>
      </c>
      <c r="G32" s="0" t="n">
        <v>180</v>
      </c>
      <c r="H32" s="0" t="n">
        <v>6.08</v>
      </c>
      <c r="I32" s="0" t="s">
        <v>195</v>
      </c>
      <c r="J32" s="0" t="s">
        <v>150</v>
      </c>
      <c r="K32" s="5" t="n">
        <v>45755</v>
      </c>
      <c r="L32" s="0" t="n">
        <v>41</v>
      </c>
      <c r="M32" s="0" t="str">
        <f aca="false">CONCATENATE(B32," ",C32)</f>
        <v>Matthew Coldwell</v>
      </c>
      <c r="N32" s="0" t="s">
        <v>5</v>
      </c>
    </row>
    <row r="33" customFormat="false" ht="15" hidden="false" customHeight="false" outlineLevel="0" collapsed="false">
      <c r="A33" s="0" t="n">
        <v>32</v>
      </c>
      <c r="B33" s="0" t="s">
        <v>127</v>
      </c>
      <c r="C33" s="0" t="s">
        <v>128</v>
      </c>
      <c r="D33" s="0" t="s">
        <v>278</v>
      </c>
      <c r="E33" s="4" t="n">
        <v>1.6375</v>
      </c>
      <c r="F33" s="0" t="n">
        <v>180</v>
      </c>
      <c r="G33" s="0" t="n">
        <v>180</v>
      </c>
      <c r="H33" s="0" t="n">
        <v>6.87</v>
      </c>
      <c r="I33" s="0" t="s">
        <v>180</v>
      </c>
      <c r="J33" s="0" t="s">
        <v>214</v>
      </c>
      <c r="K33" s="5" t="n">
        <v>45790</v>
      </c>
      <c r="L33" s="0" t="n">
        <v>45</v>
      </c>
      <c r="M33" s="0" t="str">
        <f aca="false">CONCATENATE(B33," ",C33)</f>
        <v>Gemma Nutton</v>
      </c>
      <c r="N33" s="0" t="s">
        <v>5</v>
      </c>
    </row>
    <row r="34" customFormat="false" ht="15" hidden="false" customHeight="false" outlineLevel="0" collapsed="false">
      <c r="A34" s="0" t="n">
        <v>33</v>
      </c>
      <c r="B34" s="0" t="s">
        <v>131</v>
      </c>
      <c r="C34" s="0" t="s">
        <v>72</v>
      </c>
      <c r="D34" s="0" t="s">
        <v>279</v>
      </c>
      <c r="E34" s="4" t="n">
        <v>1.7</v>
      </c>
      <c r="F34" s="0" t="n">
        <v>190</v>
      </c>
      <c r="G34" s="0" t="n">
        <v>180</v>
      </c>
      <c r="H34" s="0" t="n">
        <v>5.78</v>
      </c>
      <c r="I34" s="0" t="s">
        <v>199</v>
      </c>
      <c r="J34" s="0" t="s">
        <v>280</v>
      </c>
      <c r="K34" s="5" t="n">
        <v>45803</v>
      </c>
      <c r="L34" s="0" t="n">
        <v>44</v>
      </c>
      <c r="M34" s="0" t="str">
        <f aca="false">CONCATENATE(B34," ",C34)</f>
        <v>Paul Fryers</v>
      </c>
      <c r="N34" s="0" t="s">
        <v>5</v>
      </c>
    </row>
    <row r="35" customFormat="false" ht="15" hidden="false" customHeight="false" outlineLevel="0" collapsed="false">
      <c r="A35" s="0" t="n">
        <v>33</v>
      </c>
      <c r="B35" s="0" t="s">
        <v>162</v>
      </c>
      <c r="C35" s="0" t="s">
        <v>72</v>
      </c>
      <c r="D35" s="0" t="s">
        <v>281</v>
      </c>
      <c r="E35" s="4" t="n">
        <v>1.74166666666667</v>
      </c>
      <c r="F35" s="0" t="n">
        <v>190</v>
      </c>
      <c r="G35" s="0" t="n">
        <v>180</v>
      </c>
      <c r="H35" s="0" t="n">
        <v>5.78</v>
      </c>
      <c r="I35" s="0" t="s">
        <v>202</v>
      </c>
      <c r="J35" s="0" t="s">
        <v>282</v>
      </c>
      <c r="K35" s="5" t="n">
        <v>45804</v>
      </c>
      <c r="L35" s="0" t="n">
        <v>45</v>
      </c>
      <c r="M35" s="0" t="str">
        <f aca="false">CONCATENATE(B35," ",C35)</f>
        <v>Helen Fryers</v>
      </c>
      <c r="N35" s="0" t="s">
        <v>5</v>
      </c>
    </row>
    <row r="36" customFormat="false" ht="15" hidden="false" customHeight="false" outlineLevel="0" collapsed="false">
      <c r="A36" s="0" t="n">
        <v>34</v>
      </c>
      <c r="B36" s="0" t="s">
        <v>123</v>
      </c>
      <c r="C36" s="0" t="s">
        <v>124</v>
      </c>
      <c r="D36" s="0" t="s">
        <v>283</v>
      </c>
      <c r="E36" s="4" t="n">
        <v>1.60416666666667</v>
      </c>
      <c r="F36" s="0" t="n">
        <v>170</v>
      </c>
      <c r="G36" s="0" t="n">
        <v>170</v>
      </c>
      <c r="H36" s="0" t="n">
        <v>6.44</v>
      </c>
      <c r="I36" s="0" t="s">
        <v>188</v>
      </c>
      <c r="J36" s="0" t="s">
        <v>181</v>
      </c>
      <c r="K36" s="5" t="n">
        <v>45777</v>
      </c>
      <c r="L36" s="0" t="n">
        <v>39</v>
      </c>
      <c r="M36" s="0" t="str">
        <f aca="false">CONCATENATE(B36," ",C36)</f>
        <v>Jill Scrivens</v>
      </c>
      <c r="N36" s="0" t="s">
        <v>5</v>
      </c>
    </row>
    <row r="37" customFormat="false" ht="15" hidden="false" customHeight="false" outlineLevel="0" collapsed="false">
      <c r="A37" s="0" t="n">
        <v>35</v>
      </c>
      <c r="B37" s="0" t="s">
        <v>177</v>
      </c>
      <c r="C37" s="0" t="s">
        <v>178</v>
      </c>
      <c r="D37" s="0" t="s">
        <v>284</v>
      </c>
      <c r="E37" s="4" t="n">
        <v>1.6375</v>
      </c>
      <c r="F37" s="0" t="n">
        <v>170</v>
      </c>
      <c r="G37" s="0" t="n">
        <v>170</v>
      </c>
      <c r="H37" s="0" t="n">
        <v>5.74</v>
      </c>
      <c r="I37" s="0" t="s">
        <v>211</v>
      </c>
      <c r="J37" s="0" t="s">
        <v>212</v>
      </c>
      <c r="K37" s="5" t="n">
        <v>45782</v>
      </c>
      <c r="L37" s="0" t="n">
        <v>33</v>
      </c>
      <c r="M37" s="0" t="str">
        <f aca="false">CONCATENATE(B37," ",C37)</f>
        <v>Sarah Halstead</v>
      </c>
      <c r="N37" s="0" t="s">
        <v>5</v>
      </c>
    </row>
    <row r="38" customFormat="false" ht="15" hidden="false" customHeight="false" outlineLevel="0" collapsed="false">
      <c r="A38" s="0" t="n">
        <v>36</v>
      </c>
      <c r="B38" s="0" t="s">
        <v>169</v>
      </c>
      <c r="C38" s="0" t="s">
        <v>170</v>
      </c>
      <c r="D38" s="0" t="s">
        <v>285</v>
      </c>
      <c r="E38" s="4" t="n">
        <v>1.65416666666667</v>
      </c>
      <c r="F38" s="0" t="n">
        <v>160</v>
      </c>
      <c r="G38" s="0" t="n">
        <v>160</v>
      </c>
      <c r="H38" s="0" t="n">
        <v>4.92</v>
      </c>
      <c r="I38" s="0" t="s">
        <v>202</v>
      </c>
      <c r="J38" s="0" t="s">
        <v>158</v>
      </c>
      <c r="K38" s="5" t="n">
        <v>45775</v>
      </c>
      <c r="L38" s="0" t="n">
        <v>13</v>
      </c>
      <c r="M38" s="0" t="str">
        <f aca="false">CONCATENATE(B38," ",C38)</f>
        <v>Nick Whittingham</v>
      </c>
      <c r="N38" s="0" t="s">
        <v>5</v>
      </c>
    </row>
    <row r="39" customFormat="false" ht="15" hidden="false" customHeight="false" outlineLevel="0" collapsed="false">
      <c r="A39" s="0" t="n">
        <v>37</v>
      </c>
      <c r="B39" s="0" t="s">
        <v>219</v>
      </c>
      <c r="C39" s="0" t="s">
        <v>220</v>
      </c>
      <c r="D39" s="0" t="s">
        <v>286</v>
      </c>
      <c r="E39" s="4" t="n">
        <v>1.82777777777778</v>
      </c>
      <c r="F39" s="0" t="n">
        <v>200</v>
      </c>
      <c r="G39" s="0" t="n">
        <v>160</v>
      </c>
      <c r="H39" s="0" t="n">
        <v>7.38</v>
      </c>
      <c r="I39" s="0" t="s">
        <v>205</v>
      </c>
      <c r="J39" s="0" t="s">
        <v>287</v>
      </c>
      <c r="K39" s="5" t="n">
        <v>45807</v>
      </c>
      <c r="L39" s="0" t="n">
        <v>61</v>
      </c>
      <c r="M39" s="0" t="str">
        <f aca="false">CONCATENATE(B39," ",C39)</f>
        <v>Mark Crossley</v>
      </c>
      <c r="N39" s="0" t="s">
        <v>5</v>
      </c>
    </row>
    <row r="40" customFormat="false" ht="15" hidden="false" customHeight="false" outlineLevel="0" collapsed="false">
      <c r="A40" s="0" t="n">
        <v>38</v>
      </c>
      <c r="B40" s="0" t="s">
        <v>182</v>
      </c>
      <c r="C40" s="0" t="s">
        <v>183</v>
      </c>
      <c r="D40" s="0" t="s">
        <v>288</v>
      </c>
      <c r="E40" s="4" t="n">
        <v>1.64722222222222</v>
      </c>
      <c r="F40" s="0" t="n">
        <v>150</v>
      </c>
      <c r="G40" s="0" t="n">
        <v>150</v>
      </c>
      <c r="H40" s="0" t="n">
        <v>5.61</v>
      </c>
      <c r="I40" s="0" t="s">
        <v>208</v>
      </c>
      <c r="J40" s="0" t="s">
        <v>185</v>
      </c>
      <c r="K40" s="5" t="n">
        <v>45767</v>
      </c>
      <c r="L40" s="0" t="n">
        <v>11</v>
      </c>
      <c r="M40" s="0" t="str">
        <f aca="false">CONCATENATE(B40," ",C40)</f>
        <v>Ian Wragg</v>
      </c>
      <c r="N40" s="0" t="s">
        <v>5</v>
      </c>
    </row>
    <row r="41" customFormat="false" ht="15" hidden="false" customHeight="false" outlineLevel="0" collapsed="false">
      <c r="A41" s="0" t="n">
        <v>39</v>
      </c>
      <c r="B41" s="0" t="s">
        <v>186</v>
      </c>
      <c r="C41" s="0" t="s">
        <v>187</v>
      </c>
      <c r="D41" s="0" t="s">
        <v>289</v>
      </c>
      <c r="E41" s="4" t="n">
        <v>1.44861111111111</v>
      </c>
      <c r="F41" s="0" t="n">
        <v>140</v>
      </c>
      <c r="G41" s="0" t="n">
        <v>140</v>
      </c>
      <c r="H41" s="0" t="n">
        <v>4.87</v>
      </c>
      <c r="I41" s="0" t="s">
        <v>213</v>
      </c>
      <c r="J41" s="0" t="s">
        <v>189</v>
      </c>
      <c r="K41" s="5" t="n">
        <v>45805</v>
      </c>
      <c r="L41" s="0" t="n">
        <v>8</v>
      </c>
      <c r="M41" s="0" t="str">
        <f aca="false">CONCATENATE(B41," ",C41)</f>
        <v>Myfanwy Cross</v>
      </c>
      <c r="N41" s="0" t="s">
        <v>5</v>
      </c>
    </row>
    <row r="42" customFormat="false" ht="15" hidden="false" customHeight="false" outlineLevel="0" collapsed="false">
      <c r="A42" s="0" t="n">
        <v>40</v>
      </c>
      <c r="B42" s="0" t="s">
        <v>190</v>
      </c>
      <c r="C42" s="0" t="s">
        <v>191</v>
      </c>
      <c r="D42" s="0" t="s">
        <v>290</v>
      </c>
      <c r="E42" s="4" t="n">
        <v>1.46875</v>
      </c>
      <c r="F42" s="0" t="n">
        <v>130</v>
      </c>
      <c r="G42" s="0" t="n">
        <v>130</v>
      </c>
      <c r="H42" s="0" t="n">
        <v>4.33</v>
      </c>
      <c r="I42" s="0" t="s">
        <v>221</v>
      </c>
      <c r="J42" s="0" t="s">
        <v>173</v>
      </c>
      <c r="K42" s="5" t="n">
        <v>45776</v>
      </c>
      <c r="L42" s="0" t="n">
        <v>28</v>
      </c>
      <c r="M42" s="0" t="str">
        <f aca="false">CONCATENATE(B42," ",C42)</f>
        <v>Stu Smith</v>
      </c>
      <c r="N42" s="0" t="s">
        <v>5</v>
      </c>
    </row>
    <row r="43" customFormat="false" ht="15" hidden="false" customHeight="false" outlineLevel="0" collapsed="false">
      <c r="A43" s="0" t="n">
        <v>41</v>
      </c>
      <c r="B43" s="0" t="s">
        <v>194</v>
      </c>
      <c r="C43" s="0" t="s">
        <v>119</v>
      </c>
      <c r="D43" s="0" t="s">
        <v>290</v>
      </c>
      <c r="E43" s="4" t="n">
        <v>1.53541666666667</v>
      </c>
      <c r="F43" s="0" t="n">
        <v>130</v>
      </c>
      <c r="G43" s="0" t="n">
        <v>130</v>
      </c>
      <c r="H43" s="0" t="n">
        <v>4.3</v>
      </c>
      <c r="I43" s="0" t="s">
        <v>223</v>
      </c>
      <c r="J43" s="0" t="s">
        <v>152</v>
      </c>
      <c r="K43" s="5" t="n">
        <v>45776</v>
      </c>
      <c r="L43" s="0" t="n">
        <v>49</v>
      </c>
      <c r="M43" s="0" t="str">
        <f aca="false">CONCATENATE(B43," ",C43)</f>
        <v>Dommett Steve</v>
      </c>
      <c r="N43" s="0" t="s">
        <v>5</v>
      </c>
    </row>
    <row r="44" customFormat="false" ht="15" hidden="false" customHeight="false" outlineLevel="0" collapsed="false">
      <c r="A44" s="0" t="n">
        <v>42</v>
      </c>
      <c r="B44" s="0" t="s">
        <v>123</v>
      </c>
      <c r="C44" s="0" t="s">
        <v>291</v>
      </c>
      <c r="D44" s="0" t="s">
        <v>290</v>
      </c>
      <c r="E44" s="4" t="n">
        <v>1.58402777777778</v>
      </c>
      <c r="F44" s="0" t="n">
        <v>130</v>
      </c>
      <c r="G44" s="0" t="n">
        <v>130</v>
      </c>
      <c r="H44" s="0" t="n">
        <v>4.35</v>
      </c>
      <c r="I44" s="0" t="s">
        <v>215</v>
      </c>
      <c r="J44" s="0" t="s">
        <v>292</v>
      </c>
      <c r="K44" s="5" t="n">
        <v>45767</v>
      </c>
      <c r="L44" s="0" t="n">
        <v>7</v>
      </c>
      <c r="M44" s="0" t="str">
        <f aca="false">CONCATENATE(B44," ",C44)</f>
        <v>Jill Davis</v>
      </c>
      <c r="N44" s="0" t="s">
        <v>5</v>
      </c>
    </row>
    <row r="45" customFormat="false" ht="15" hidden="false" customHeight="false" outlineLevel="0" collapsed="false">
      <c r="A45" s="0" t="n">
        <v>43</v>
      </c>
      <c r="B45" s="0" t="s">
        <v>197</v>
      </c>
      <c r="C45" s="0" t="s">
        <v>198</v>
      </c>
      <c r="D45" s="0" t="s">
        <v>293</v>
      </c>
      <c r="E45" s="4" t="n">
        <v>1.42847222222222</v>
      </c>
      <c r="F45" s="0" t="n">
        <v>120</v>
      </c>
      <c r="G45" s="0" t="n">
        <v>120</v>
      </c>
      <c r="H45" s="0" t="n">
        <v>4.18</v>
      </c>
      <c r="I45" s="0" t="s">
        <v>226</v>
      </c>
      <c r="J45" s="0" t="s">
        <v>200</v>
      </c>
      <c r="K45" s="5" t="n">
        <v>45774</v>
      </c>
      <c r="L45" s="0" t="n">
        <v>34</v>
      </c>
      <c r="M45" s="0" t="str">
        <f aca="false">CONCATENATE(B45," ",C45)</f>
        <v>Raymond Brown</v>
      </c>
      <c r="N45" s="0" t="s">
        <v>5</v>
      </c>
    </row>
    <row r="46" customFormat="false" ht="15" hidden="false" customHeight="false" outlineLevel="0" collapsed="false">
      <c r="A46" s="0" t="n">
        <v>44</v>
      </c>
      <c r="B46" s="0" t="s">
        <v>107</v>
      </c>
      <c r="C46" s="0" t="s">
        <v>108</v>
      </c>
      <c r="D46" s="0" t="s">
        <v>294</v>
      </c>
      <c r="E46" s="4" t="n">
        <v>1.73611111111111</v>
      </c>
      <c r="F46" s="0" t="n">
        <v>140</v>
      </c>
      <c r="G46" s="0" t="n">
        <v>120</v>
      </c>
      <c r="H46" s="0" t="n">
        <v>5.74</v>
      </c>
      <c r="I46" s="0" t="s">
        <v>228</v>
      </c>
      <c r="J46" s="0" t="s">
        <v>282</v>
      </c>
      <c r="K46" s="5" t="n">
        <v>45766</v>
      </c>
      <c r="L46" s="0" t="n">
        <v>35</v>
      </c>
      <c r="M46" s="0" t="str">
        <f aca="false">CONCATENATE(B46," ",C46)</f>
        <v>Dean Allcroft</v>
      </c>
      <c r="N46" s="0" t="s">
        <v>5</v>
      </c>
    </row>
    <row r="47" customFormat="false" ht="15" hidden="false" customHeight="false" outlineLevel="0" collapsed="false">
      <c r="A47" s="0" t="n">
        <v>45</v>
      </c>
      <c r="B47" s="0" t="s">
        <v>244</v>
      </c>
      <c r="C47" s="0" t="s">
        <v>245</v>
      </c>
      <c r="D47" s="0" t="s">
        <v>295</v>
      </c>
      <c r="E47" s="4" t="n">
        <v>1.96041666666667</v>
      </c>
      <c r="F47" s="0" t="n">
        <v>200</v>
      </c>
      <c r="G47" s="0" t="n">
        <v>120</v>
      </c>
      <c r="H47" s="0" t="n">
        <v>7.13</v>
      </c>
      <c r="I47" s="0" t="s">
        <v>217</v>
      </c>
      <c r="J47" s="0" t="s">
        <v>248</v>
      </c>
      <c r="K47" s="5" t="n">
        <v>45781</v>
      </c>
      <c r="L47" s="0" t="n">
        <v>3</v>
      </c>
      <c r="M47" s="0" t="str">
        <f aca="false">CONCATENATE(B47," ",C47)</f>
        <v>Lisa Hinchliffe</v>
      </c>
      <c r="N47" s="0" t="s">
        <v>5</v>
      </c>
    </row>
    <row r="48" customFormat="false" ht="15" hidden="false" customHeight="false" outlineLevel="0" collapsed="false">
      <c r="A48" s="0" t="n">
        <v>46</v>
      </c>
      <c r="B48" s="0" t="s">
        <v>296</v>
      </c>
      <c r="C48" s="0" t="s">
        <v>81</v>
      </c>
      <c r="D48" s="0" t="s">
        <v>297</v>
      </c>
      <c r="E48" s="4" t="n">
        <v>2.38541666666667</v>
      </c>
      <c r="F48" s="0" t="n">
        <v>250</v>
      </c>
      <c r="G48" s="0" t="n">
        <v>70</v>
      </c>
      <c r="H48" s="0" t="n">
        <v>9.05</v>
      </c>
      <c r="I48" s="0" t="s">
        <v>235</v>
      </c>
      <c r="J48" s="0" t="s">
        <v>216</v>
      </c>
      <c r="K48" s="5" t="n">
        <v>45801</v>
      </c>
      <c r="L48" s="0" t="n">
        <v>55</v>
      </c>
      <c r="M48" s="0" t="str">
        <f aca="false">CONCATENATE(B48," ",C48)</f>
        <v>Valentina Wright</v>
      </c>
      <c r="N48" s="0" t="s">
        <v>5</v>
      </c>
    </row>
    <row r="49" customFormat="false" ht="15" hidden="false" customHeight="false" outlineLevel="0" collapsed="false">
      <c r="A49" s="0" t="n">
        <v>47</v>
      </c>
      <c r="B49" s="0" t="s">
        <v>114</v>
      </c>
      <c r="C49" s="0" t="s">
        <v>115</v>
      </c>
      <c r="D49" s="0" t="s">
        <v>261</v>
      </c>
      <c r="E49" s="4" t="n">
        <v>2.37291666666667</v>
      </c>
      <c r="F49" s="0" t="n">
        <v>220</v>
      </c>
      <c r="G49" s="0" t="n">
        <v>50</v>
      </c>
      <c r="H49" s="0" t="n">
        <v>7.43</v>
      </c>
      <c r="I49" s="0" t="s">
        <v>230</v>
      </c>
      <c r="J49" s="0" t="s">
        <v>224</v>
      </c>
      <c r="K49" s="5" t="n">
        <v>45764</v>
      </c>
      <c r="L49" s="0" t="n">
        <v>53</v>
      </c>
      <c r="M49" s="0" t="str">
        <f aca="false">CONCATENATE(B49," ",C49)</f>
        <v>Michael Nicholson</v>
      </c>
      <c r="N49" s="0" t="s">
        <v>5</v>
      </c>
    </row>
    <row r="50" customFormat="false" ht="15" hidden="false" customHeight="false" outlineLevel="0" collapsed="false">
      <c r="A50" s="0" t="n">
        <v>48</v>
      </c>
      <c r="B50" s="0" t="s">
        <v>99</v>
      </c>
      <c r="C50" s="0" t="s">
        <v>100</v>
      </c>
      <c r="D50" s="0" t="s">
        <v>261</v>
      </c>
      <c r="E50" s="4" t="n">
        <v>2.37777777777778</v>
      </c>
      <c r="F50" s="0" t="n">
        <v>220</v>
      </c>
      <c r="G50" s="0" t="n">
        <v>40</v>
      </c>
      <c r="H50" s="0" t="n">
        <v>7.64</v>
      </c>
      <c r="I50" s="0" t="s">
        <v>237</v>
      </c>
      <c r="J50" s="0" t="s">
        <v>218</v>
      </c>
      <c r="K50" s="5" t="n">
        <v>45764</v>
      </c>
      <c r="L50" s="0" t="n">
        <v>12</v>
      </c>
      <c r="M50" s="0" t="str">
        <f aca="false">CONCATENATE(B50," ",C50)</f>
        <v>Jemma Williams</v>
      </c>
      <c r="N50" s="0" t="s">
        <v>5</v>
      </c>
    </row>
    <row r="51" customFormat="false" ht="15" hidden="false" customHeight="false" outlineLevel="0" collapsed="false">
      <c r="A51" s="0" t="n">
        <v>49</v>
      </c>
      <c r="B51" s="0" t="s">
        <v>298</v>
      </c>
      <c r="C51" s="0" t="s">
        <v>299</v>
      </c>
      <c r="D51" s="0" t="s">
        <v>261</v>
      </c>
      <c r="E51" s="4" t="n">
        <v>2.37986111111111</v>
      </c>
      <c r="F51" s="0" t="n">
        <v>220</v>
      </c>
      <c r="G51" s="0" t="n">
        <v>40</v>
      </c>
      <c r="H51" s="0" t="n">
        <v>7.27</v>
      </c>
      <c r="I51" s="0" t="s">
        <v>232</v>
      </c>
      <c r="J51" s="0" t="s">
        <v>300</v>
      </c>
      <c r="K51" s="5" t="n">
        <v>45764</v>
      </c>
      <c r="L51" s="0" t="n">
        <v>42</v>
      </c>
      <c r="M51" s="0" t="str">
        <f aca="false">CONCATENATE(B51," ",C51)</f>
        <v>John Lawcock</v>
      </c>
      <c r="N51" s="0" t="s">
        <v>5</v>
      </c>
    </row>
    <row r="52" customFormat="false" ht="15" hidden="false" customHeight="false" outlineLevel="0" collapsed="false">
      <c r="A52" s="0" t="n">
        <v>50</v>
      </c>
      <c r="B52" s="0" t="s">
        <v>301</v>
      </c>
      <c r="C52" s="0" t="s">
        <v>302</v>
      </c>
      <c r="D52" s="0" t="s">
        <v>261</v>
      </c>
      <c r="E52" s="4" t="n">
        <v>2.38125</v>
      </c>
      <c r="F52" s="0" t="n">
        <v>220</v>
      </c>
      <c r="G52" s="0" t="n">
        <v>40</v>
      </c>
      <c r="H52" s="0" t="n">
        <v>7.28</v>
      </c>
      <c r="I52" s="0" t="s">
        <v>240</v>
      </c>
      <c r="J52" s="0" t="s">
        <v>303</v>
      </c>
      <c r="K52" s="5" t="n">
        <v>45764</v>
      </c>
      <c r="L52" s="0" t="n">
        <v>58</v>
      </c>
      <c r="M52" s="0" t="str">
        <f aca="false">CONCATENATE(B52," ",C52)</f>
        <v>Ben Wilkinson</v>
      </c>
      <c r="N52" s="0" t="s">
        <v>5</v>
      </c>
    </row>
    <row r="53" customFormat="false" ht="15" hidden="false" customHeight="false" outlineLevel="0" collapsed="false">
      <c r="A53" s="0" t="n">
        <v>51</v>
      </c>
      <c r="B53" s="0" t="s">
        <v>304</v>
      </c>
      <c r="C53" s="0" t="s">
        <v>305</v>
      </c>
      <c r="D53" s="0" t="s">
        <v>261</v>
      </c>
      <c r="E53" s="4" t="n">
        <v>2.38194444444444</v>
      </c>
      <c r="F53" s="0" t="n">
        <v>220</v>
      </c>
      <c r="G53" s="0" t="n">
        <v>40</v>
      </c>
      <c r="H53" s="0" t="n">
        <v>7.33</v>
      </c>
      <c r="I53" s="0" t="s">
        <v>242</v>
      </c>
      <c r="J53" s="0" t="s">
        <v>306</v>
      </c>
      <c r="K53" s="5" t="n">
        <v>45764</v>
      </c>
      <c r="L53" s="0" t="n">
        <v>30</v>
      </c>
      <c r="M53" s="0" t="str">
        <f aca="false">CONCATENATE(B53," ",C53)</f>
        <v>Rachael Winterbottom</v>
      </c>
      <c r="N53" s="0" t="s">
        <v>5</v>
      </c>
    </row>
    <row r="54" customFormat="false" ht="15" hidden="false" customHeight="false" outlineLevel="0" collapsed="false">
      <c r="A54" s="0" t="n">
        <v>52</v>
      </c>
      <c r="B54" s="0" t="s">
        <v>296</v>
      </c>
      <c r="C54" s="0" t="s">
        <v>81</v>
      </c>
      <c r="D54" s="0" t="s">
        <v>261</v>
      </c>
      <c r="E54" s="4" t="n">
        <v>2.38680555555556</v>
      </c>
      <c r="F54" s="0" t="n">
        <v>220</v>
      </c>
      <c r="G54" s="0" t="n">
        <v>40</v>
      </c>
      <c r="H54" s="0" t="n">
        <v>6.92</v>
      </c>
      <c r="I54" s="0" t="s">
        <v>247</v>
      </c>
      <c r="J54" s="0" t="s">
        <v>238</v>
      </c>
      <c r="K54" s="5" t="n">
        <v>45764</v>
      </c>
      <c r="L54" s="0" t="n">
        <v>38</v>
      </c>
      <c r="M54" s="0" t="str">
        <f aca="false">CONCATENATE(B54," ",C54)</f>
        <v>Valentina Wright</v>
      </c>
      <c r="N54" s="0" t="s">
        <v>5</v>
      </c>
    </row>
    <row r="55" customFormat="false" ht="15" hidden="false" customHeight="false" outlineLevel="0" collapsed="false">
      <c r="A55" s="0" t="n">
        <v>53</v>
      </c>
      <c r="B55" s="0" t="s">
        <v>307</v>
      </c>
      <c r="C55" s="0" t="s">
        <v>308</v>
      </c>
      <c r="D55" s="0" t="s">
        <v>261</v>
      </c>
      <c r="E55" s="4" t="n">
        <v>2.39305555555556</v>
      </c>
      <c r="F55" s="0" t="n">
        <v>220</v>
      </c>
      <c r="G55" s="0" t="n">
        <v>40</v>
      </c>
      <c r="H55" s="0" t="n">
        <v>7.01</v>
      </c>
      <c r="I55" s="0" t="s">
        <v>309</v>
      </c>
      <c r="J55" s="0" t="s">
        <v>310</v>
      </c>
      <c r="K55" s="5" t="n">
        <v>45764</v>
      </c>
      <c r="L55" s="0" t="n">
        <v>57</v>
      </c>
      <c r="M55" s="0" t="str">
        <f aca="false">CONCATENATE(B55," ",C55)</f>
        <v>Shelley Gill</v>
      </c>
      <c r="N55" s="0" t="s">
        <v>5</v>
      </c>
    </row>
    <row r="56" customFormat="false" ht="15" hidden="false" customHeight="false" outlineLevel="0" collapsed="false">
      <c r="A56" s="0" t="n">
        <v>54</v>
      </c>
      <c r="B56" s="0" t="s">
        <v>123</v>
      </c>
      <c r="C56" s="0" t="s">
        <v>124</v>
      </c>
      <c r="D56" s="0" t="s">
        <v>311</v>
      </c>
      <c r="E56" s="6" t="n">
        <v>0.0416898148148148</v>
      </c>
      <c r="F56" s="0" t="n">
        <v>190</v>
      </c>
      <c r="G56" s="0" t="n">
        <v>-20</v>
      </c>
      <c r="H56" s="0" t="n">
        <v>6.78</v>
      </c>
      <c r="I56" s="0" t="s">
        <v>312</v>
      </c>
      <c r="J56" s="0" t="s">
        <v>313</v>
      </c>
      <c r="K56" s="5" t="n">
        <v>45756</v>
      </c>
      <c r="L56" s="0" t="n">
        <v>18</v>
      </c>
      <c r="M56" s="0" t="str">
        <f aca="false">CONCATENATE(B56," ",C56)</f>
        <v>Jill Scrivens</v>
      </c>
      <c r="N56" s="0" t="s">
        <v>5</v>
      </c>
    </row>
    <row r="57" customFormat="false" ht="15" hidden="false" customHeight="false" outlineLevel="0" collapsed="false">
      <c r="A57" s="0" t="n">
        <v>55</v>
      </c>
      <c r="B57" s="0" t="s">
        <v>127</v>
      </c>
      <c r="C57" s="0" t="s">
        <v>128</v>
      </c>
      <c r="D57" s="0" t="s">
        <v>311</v>
      </c>
      <c r="E57" s="6" t="n">
        <v>0.0417592592592593</v>
      </c>
      <c r="F57" s="0" t="n">
        <v>190</v>
      </c>
      <c r="G57" s="0" t="n">
        <v>-20</v>
      </c>
      <c r="H57" s="0" t="n">
        <v>6.58</v>
      </c>
      <c r="I57" s="0" t="s">
        <v>314</v>
      </c>
      <c r="J57" s="0" t="s">
        <v>236</v>
      </c>
      <c r="K57" s="5" t="n">
        <v>45757</v>
      </c>
      <c r="L57" s="0" t="n">
        <v>14</v>
      </c>
      <c r="M57" s="0" t="str">
        <f aca="false">CONCATENATE(B57," ",C57)</f>
        <v>Gemma Nutton</v>
      </c>
      <c r="N57" s="0" t="s">
        <v>5</v>
      </c>
    </row>
    <row r="58" customFormat="false" ht="15" hidden="false" customHeight="false" outlineLevel="0" collapsed="false">
      <c r="A58" s="0" t="n">
        <v>56</v>
      </c>
      <c r="B58" s="0" t="s">
        <v>315</v>
      </c>
      <c r="C58" s="0" t="s">
        <v>316</v>
      </c>
      <c r="D58" s="0" t="s">
        <v>311</v>
      </c>
      <c r="E58" s="6" t="n">
        <v>0.0417592592592593</v>
      </c>
      <c r="F58" s="0" t="n">
        <v>190</v>
      </c>
      <c r="G58" s="0" t="n">
        <v>-20</v>
      </c>
      <c r="H58" s="0" t="n">
        <v>6.85</v>
      </c>
      <c r="I58" s="0" t="s">
        <v>317</v>
      </c>
      <c r="J58" s="0" t="s">
        <v>318</v>
      </c>
      <c r="K58" s="5" t="n">
        <v>45756</v>
      </c>
      <c r="L58" s="0" t="n">
        <v>40</v>
      </c>
      <c r="M58" s="0" t="str">
        <f aca="false">CONCATENATE(B58," ",C58)</f>
        <v>Sara Wolstenholme</v>
      </c>
      <c r="N58" s="0" t="s">
        <v>5</v>
      </c>
    </row>
    <row r="59" customFormat="false" ht="15" hidden="false" customHeight="false" outlineLevel="0" collapsed="false">
      <c r="A59" s="0" t="n">
        <v>57</v>
      </c>
      <c r="B59" s="0" t="s">
        <v>319</v>
      </c>
      <c r="C59" s="0" t="s">
        <v>320</v>
      </c>
      <c r="D59" s="0" t="s">
        <v>311</v>
      </c>
      <c r="E59" s="6" t="n">
        <v>0.0418865740740741</v>
      </c>
      <c r="F59" s="0" t="n">
        <v>190</v>
      </c>
      <c r="G59" s="0" t="n">
        <v>-20</v>
      </c>
      <c r="H59" s="0" t="n">
        <v>6.78</v>
      </c>
      <c r="I59" s="0" t="s">
        <v>321</v>
      </c>
      <c r="J59" s="0" t="s">
        <v>322</v>
      </c>
      <c r="K59" s="5" t="n">
        <v>45756</v>
      </c>
      <c r="L59" s="0" t="n">
        <v>16</v>
      </c>
      <c r="M59" s="0" t="str">
        <f aca="false">CONCATENATE(B59," ",C59)</f>
        <v>Stefan Butler-Gillen</v>
      </c>
      <c r="N59" s="0" t="s">
        <v>5</v>
      </c>
    </row>
    <row r="60" customFormat="false" ht="15" hidden="false" customHeight="false" outlineLevel="0" collapsed="false">
      <c r="A60" s="0" t="n">
        <v>58</v>
      </c>
      <c r="B60" s="0" t="s">
        <v>323</v>
      </c>
      <c r="C60" s="0" t="s">
        <v>324</v>
      </c>
      <c r="D60" s="0" t="s">
        <v>311</v>
      </c>
      <c r="E60" s="6" t="n">
        <v>0.0419097222222222</v>
      </c>
      <c r="F60" s="0" t="n">
        <v>190</v>
      </c>
      <c r="G60" s="0" t="n">
        <v>-20</v>
      </c>
      <c r="H60" s="0" t="n">
        <v>6.81</v>
      </c>
      <c r="I60" s="0" t="s">
        <v>325</v>
      </c>
      <c r="J60" s="0" t="s">
        <v>243</v>
      </c>
      <c r="K60" s="5" t="n">
        <v>45756</v>
      </c>
      <c r="L60" s="0" t="n">
        <v>52</v>
      </c>
      <c r="M60" s="0" t="str">
        <f aca="false">CONCATENATE(B60," ",C60)</f>
        <v>Jen Holley</v>
      </c>
      <c r="N60" s="0" t="s">
        <v>5</v>
      </c>
    </row>
    <row r="61" customFormat="false" ht="15" hidden="false" customHeight="false" outlineLevel="0" collapsed="false">
      <c r="A61" s="0" t="n">
        <v>59</v>
      </c>
      <c r="B61" s="0" t="s">
        <v>186</v>
      </c>
      <c r="C61" s="0" t="s">
        <v>187</v>
      </c>
      <c r="D61" s="0" t="s">
        <v>284</v>
      </c>
      <c r="E61" s="6" t="n">
        <v>0.0418865740740741</v>
      </c>
      <c r="F61" s="0" t="n">
        <v>170</v>
      </c>
      <c r="G61" s="0" t="n">
        <v>-40</v>
      </c>
      <c r="H61" s="0" t="n">
        <v>6.24</v>
      </c>
      <c r="I61" s="0" t="s">
        <v>326</v>
      </c>
      <c r="J61" s="0" t="s">
        <v>327</v>
      </c>
      <c r="K61" s="5" t="n">
        <v>45756</v>
      </c>
      <c r="L61" s="0" t="n">
        <v>51</v>
      </c>
      <c r="M61" s="0" t="str">
        <f aca="false">CONCATENATE(B61," ",C61)</f>
        <v>Myfanwy Cross</v>
      </c>
      <c r="N61" s="0" t="s">
        <v>5</v>
      </c>
    </row>
    <row r="62" customFormat="false" ht="15" hidden="false" customHeight="false" outlineLevel="0" collapsed="false">
      <c r="A62" s="0" t="n">
        <v>60</v>
      </c>
      <c r="B62" s="0" t="s">
        <v>123</v>
      </c>
      <c r="C62" s="0" t="s">
        <v>124</v>
      </c>
      <c r="D62" s="0" t="s">
        <v>328</v>
      </c>
      <c r="E62" s="6" t="n">
        <v>0.0442824074074074</v>
      </c>
      <c r="F62" s="0" t="n">
        <v>200</v>
      </c>
      <c r="G62" s="0" t="n">
        <v>-40</v>
      </c>
      <c r="H62" s="0" t="n">
        <v>8.28</v>
      </c>
      <c r="I62" s="0" t="s">
        <v>329</v>
      </c>
      <c r="J62" s="0" t="s">
        <v>330</v>
      </c>
      <c r="K62" s="5" t="n">
        <v>45792</v>
      </c>
      <c r="L62" s="0" t="n">
        <v>15</v>
      </c>
      <c r="M62" s="0" t="str">
        <f aca="false">CONCATENATE(B62," ",C62)</f>
        <v>Jill Scrivens</v>
      </c>
      <c r="N62" s="0" t="s">
        <v>5</v>
      </c>
    </row>
    <row r="63" customFormat="false" ht="15" hidden="false" customHeight="false" outlineLevel="0" collapsed="false">
      <c r="A63" s="0" t="n">
        <v>61</v>
      </c>
      <c r="B63" s="0" t="s">
        <v>127</v>
      </c>
      <c r="C63" s="0" t="s">
        <v>128</v>
      </c>
      <c r="D63" s="0" t="s">
        <v>328</v>
      </c>
      <c r="E63" s="6" t="n">
        <v>0.0442939814814815</v>
      </c>
      <c r="F63" s="0" t="n">
        <v>200</v>
      </c>
      <c r="G63" s="0" t="n">
        <v>-40</v>
      </c>
      <c r="H63" s="0" t="n">
        <v>9.32</v>
      </c>
      <c r="I63" s="0" t="s">
        <v>331</v>
      </c>
      <c r="J63" s="0" t="s">
        <v>332</v>
      </c>
      <c r="K63" s="5" t="n">
        <v>45792</v>
      </c>
      <c r="L63" s="0" t="n">
        <v>10</v>
      </c>
      <c r="M63" s="0" t="str">
        <f aca="false">CONCATENATE(B63," ",C63)</f>
        <v>Gemma Nutton</v>
      </c>
      <c r="N63" s="0" t="s">
        <v>5</v>
      </c>
    </row>
    <row r="64" customFormat="false" ht="15" hidden="false" customHeight="false" outlineLevel="0" collapsed="false">
      <c r="A64" s="0" t="n">
        <v>62</v>
      </c>
      <c r="B64" s="0" t="s">
        <v>89</v>
      </c>
      <c r="C64" s="0" t="s">
        <v>90</v>
      </c>
      <c r="D64" s="0" t="s">
        <v>289</v>
      </c>
      <c r="E64" s="4" t="n">
        <v>2.41736111111111</v>
      </c>
      <c r="F64" s="0" t="n">
        <v>140</v>
      </c>
      <c r="G64" s="0" t="n">
        <v>-50</v>
      </c>
      <c r="H64" s="0" t="n">
        <v>4.79</v>
      </c>
      <c r="I64" s="0" t="s">
        <v>333</v>
      </c>
      <c r="J64" s="0" t="s">
        <v>334</v>
      </c>
      <c r="K64" s="5" t="n">
        <v>45753</v>
      </c>
      <c r="L64" s="0" t="n">
        <v>23</v>
      </c>
      <c r="M64" s="0" t="str">
        <f aca="false">CONCATENATE(B64," ",C64)</f>
        <v>Shaun Swallow</v>
      </c>
      <c r="N64" s="0" t="s">
        <v>5</v>
      </c>
    </row>
    <row r="65" customFormat="false" ht="15" hidden="false" customHeight="false" outlineLevel="0" collapsed="false">
      <c r="A65" s="0" t="n">
        <v>1</v>
      </c>
      <c r="B65" s="0" t="s">
        <v>71</v>
      </c>
      <c r="C65" s="0" t="s">
        <v>72</v>
      </c>
      <c r="D65" s="0" t="s">
        <v>73</v>
      </c>
      <c r="E65" s="4" t="n">
        <v>1.98333333333333</v>
      </c>
      <c r="F65" s="0" t="n">
        <v>250</v>
      </c>
      <c r="G65" s="0" t="n">
        <v>250</v>
      </c>
      <c r="H65" s="0" t="n">
        <v>11.31</v>
      </c>
      <c r="I65" s="0" t="s">
        <v>74</v>
      </c>
      <c r="J65" s="0" t="s">
        <v>75</v>
      </c>
      <c r="K65" s="5" t="n">
        <v>45752</v>
      </c>
      <c r="L65" s="0" t="n">
        <v>51</v>
      </c>
      <c r="M65" s="0" t="str">
        <f aca="false">CONCATENATE(B65," ",C65)</f>
        <v>Tom Fryers</v>
      </c>
      <c r="N65" s="0" t="s">
        <v>4</v>
      </c>
    </row>
    <row r="66" customFormat="false" ht="15" hidden="false" customHeight="false" outlineLevel="0" collapsed="false">
      <c r="A66" s="0" t="n">
        <v>2</v>
      </c>
      <c r="B66" s="0" t="s">
        <v>76</v>
      </c>
      <c r="C66" s="0" t="s">
        <v>77</v>
      </c>
      <c r="D66" s="0" t="s">
        <v>73</v>
      </c>
      <c r="E66" s="4" t="n">
        <v>2.11111111111111</v>
      </c>
      <c r="F66" s="0" t="n">
        <v>250</v>
      </c>
      <c r="G66" s="0" t="n">
        <v>250</v>
      </c>
      <c r="H66" s="0" t="n">
        <v>10.95</v>
      </c>
      <c r="I66" s="0" t="s">
        <v>78</v>
      </c>
      <c r="J66" s="0" t="s">
        <v>79</v>
      </c>
      <c r="K66" s="5" t="n">
        <v>45782</v>
      </c>
      <c r="L66" s="0" t="n">
        <v>7</v>
      </c>
      <c r="M66" s="0" t="str">
        <f aca="false">CONCATENATE(B66," ",C66)</f>
        <v>Rogers Flynn</v>
      </c>
      <c r="N66" s="0" t="s">
        <v>4</v>
      </c>
    </row>
    <row r="67" customFormat="false" ht="15" hidden="false" customHeight="false" outlineLevel="0" collapsed="false">
      <c r="A67" s="0" t="n">
        <v>3</v>
      </c>
      <c r="B67" s="0" t="s">
        <v>80</v>
      </c>
      <c r="C67" s="0" t="s">
        <v>81</v>
      </c>
      <c r="D67" s="0" t="s">
        <v>82</v>
      </c>
      <c r="E67" s="4" t="n">
        <v>2.11319444444444</v>
      </c>
      <c r="F67" s="0" t="n">
        <v>250</v>
      </c>
      <c r="G67" s="0" t="n">
        <v>250</v>
      </c>
      <c r="H67" s="0" t="n">
        <v>10.99</v>
      </c>
      <c r="I67" s="0" t="s">
        <v>83</v>
      </c>
      <c r="J67" s="0" t="s">
        <v>84</v>
      </c>
      <c r="K67" s="5" t="n">
        <v>45803</v>
      </c>
      <c r="L67" s="0" t="n">
        <v>35</v>
      </c>
      <c r="M67" s="0" t="str">
        <f aca="false">CONCATENATE(B67," ",C67)</f>
        <v>Anthony Wright</v>
      </c>
      <c r="N67" s="0" t="s">
        <v>4</v>
      </c>
    </row>
    <row r="68" customFormat="false" ht="15" hidden="false" customHeight="false" outlineLevel="0" collapsed="false">
      <c r="A68" s="0" t="n">
        <v>4</v>
      </c>
      <c r="B68" s="0" t="s">
        <v>85</v>
      </c>
      <c r="C68" s="0" t="s">
        <v>86</v>
      </c>
      <c r="D68" s="0" t="s">
        <v>73</v>
      </c>
      <c r="E68" s="4" t="n">
        <v>2.16875</v>
      </c>
      <c r="F68" s="0" t="n">
        <v>250</v>
      </c>
      <c r="G68" s="0" t="n">
        <v>250</v>
      </c>
      <c r="H68" s="0" t="n">
        <v>10.92</v>
      </c>
      <c r="I68" s="0" t="s">
        <v>87</v>
      </c>
      <c r="J68" s="0" t="s">
        <v>88</v>
      </c>
      <c r="K68" s="5" t="n">
        <v>45770</v>
      </c>
      <c r="L68" s="0" t="n">
        <v>8</v>
      </c>
      <c r="M68" s="0" t="str">
        <f aca="false">CONCATENATE(B68," ",C68)</f>
        <v>Jon Hallam</v>
      </c>
      <c r="N68" s="0" t="s">
        <v>4</v>
      </c>
    </row>
    <row r="69" customFormat="false" ht="15" hidden="false" customHeight="false" outlineLevel="0" collapsed="false">
      <c r="A69" s="0" t="n">
        <v>5</v>
      </c>
      <c r="B69" s="0" t="s">
        <v>89</v>
      </c>
      <c r="C69" s="0" t="s">
        <v>90</v>
      </c>
      <c r="D69" s="0" t="s">
        <v>91</v>
      </c>
      <c r="E69" s="4" t="n">
        <v>2.23125</v>
      </c>
      <c r="F69" s="0" t="n">
        <v>250</v>
      </c>
      <c r="G69" s="0" t="n">
        <v>250</v>
      </c>
      <c r="H69" s="0" t="n">
        <v>11.12</v>
      </c>
      <c r="I69" s="0" t="s">
        <v>92</v>
      </c>
      <c r="J69" s="0" t="s">
        <v>93</v>
      </c>
      <c r="K69" s="5" t="n">
        <v>45803</v>
      </c>
      <c r="L69" s="0" t="n">
        <v>43</v>
      </c>
      <c r="M69" s="0" t="str">
        <f aca="false">CONCATENATE(B69," ",C69)</f>
        <v>Shaun Swallow</v>
      </c>
      <c r="N69" s="0" t="s">
        <v>4</v>
      </c>
    </row>
    <row r="70" customFormat="false" ht="15" hidden="false" customHeight="false" outlineLevel="0" collapsed="false">
      <c r="A70" s="0" t="n">
        <v>6</v>
      </c>
      <c r="B70" s="0" t="s">
        <v>94</v>
      </c>
      <c r="C70" s="0" t="s">
        <v>72</v>
      </c>
      <c r="D70" s="0" t="s">
        <v>73</v>
      </c>
      <c r="E70" s="4" t="n">
        <v>2.25347222222222</v>
      </c>
      <c r="F70" s="0" t="n">
        <v>250</v>
      </c>
      <c r="G70" s="0" t="n">
        <v>250</v>
      </c>
      <c r="H70" s="0" t="n">
        <v>10.95</v>
      </c>
      <c r="I70" s="0" t="s">
        <v>95</v>
      </c>
      <c r="J70" s="0" t="s">
        <v>96</v>
      </c>
      <c r="K70" s="5" t="n">
        <v>45760</v>
      </c>
      <c r="L70" s="0" t="n">
        <v>23</v>
      </c>
      <c r="M70" s="0" t="str">
        <f aca="false">CONCATENATE(B70," ",C70)</f>
        <v>James Fryers</v>
      </c>
      <c r="N70" s="0" t="s">
        <v>4</v>
      </c>
    </row>
    <row r="71" customFormat="false" ht="15" hidden="false" customHeight="false" outlineLevel="0" collapsed="false">
      <c r="A71" s="0" t="n">
        <v>7</v>
      </c>
      <c r="B71" s="0" t="s">
        <v>85</v>
      </c>
      <c r="C71" s="0" t="s">
        <v>86</v>
      </c>
      <c r="D71" s="0" t="s">
        <v>73</v>
      </c>
      <c r="E71" s="4" t="n">
        <v>2.28472222222222</v>
      </c>
      <c r="F71" s="0" t="n">
        <v>250</v>
      </c>
      <c r="G71" s="0" t="n">
        <v>250</v>
      </c>
      <c r="H71" s="0" t="n">
        <v>10.97</v>
      </c>
      <c r="I71" s="0" t="s">
        <v>97</v>
      </c>
      <c r="J71" s="0" t="s">
        <v>98</v>
      </c>
      <c r="K71" s="5" t="n">
        <v>45760</v>
      </c>
      <c r="L71" s="0" t="n">
        <v>28</v>
      </c>
      <c r="M71" s="0" t="str">
        <f aca="false">CONCATENATE(B71," ",C71)</f>
        <v>Jon Hallam</v>
      </c>
      <c r="N71" s="0" t="s">
        <v>4</v>
      </c>
    </row>
    <row r="72" customFormat="false" ht="15" hidden="false" customHeight="false" outlineLevel="0" collapsed="false">
      <c r="A72" s="0" t="n">
        <v>8</v>
      </c>
      <c r="B72" s="0" t="s">
        <v>99</v>
      </c>
      <c r="C72" s="0" t="s">
        <v>100</v>
      </c>
      <c r="D72" s="0" t="s">
        <v>73</v>
      </c>
      <c r="E72" s="4" t="n">
        <v>2.42361111111111</v>
      </c>
      <c r="F72" s="0" t="n">
        <v>250</v>
      </c>
      <c r="G72" s="0" t="n">
        <v>250</v>
      </c>
      <c r="H72" s="0" t="n">
        <v>11.64</v>
      </c>
      <c r="I72" s="0" t="s">
        <v>101</v>
      </c>
      <c r="J72" s="0" t="s">
        <v>102</v>
      </c>
      <c r="K72" s="5" t="n">
        <v>45793</v>
      </c>
      <c r="L72" s="0" t="n">
        <v>13</v>
      </c>
      <c r="M72" s="0" t="str">
        <f aca="false">CONCATENATE(B72," ",C72)</f>
        <v>Jemma Williams</v>
      </c>
      <c r="N72" s="0" t="s">
        <v>4</v>
      </c>
    </row>
    <row r="73" customFormat="false" ht="15" hidden="false" customHeight="false" outlineLevel="0" collapsed="false">
      <c r="A73" s="0" t="n">
        <v>9</v>
      </c>
      <c r="B73" s="0" t="s">
        <v>103</v>
      </c>
      <c r="C73" s="0" t="s">
        <v>104</v>
      </c>
      <c r="D73" s="0" t="s">
        <v>73</v>
      </c>
      <c r="E73" s="4" t="n">
        <v>2.47777777777778</v>
      </c>
      <c r="F73" s="0" t="n">
        <v>250</v>
      </c>
      <c r="G73" s="0" t="n">
        <v>250</v>
      </c>
      <c r="H73" s="0" t="n">
        <v>11.08</v>
      </c>
      <c r="I73" s="0" t="s">
        <v>105</v>
      </c>
      <c r="J73" s="0" t="s">
        <v>106</v>
      </c>
      <c r="K73" s="5" t="n">
        <v>45806</v>
      </c>
      <c r="L73" s="0" t="n">
        <v>15</v>
      </c>
      <c r="M73" s="0" t="str">
        <f aca="false">CONCATENATE(B73," ",C73)</f>
        <v>Chris Baldwin</v>
      </c>
      <c r="N73" s="0" t="s">
        <v>4</v>
      </c>
    </row>
    <row r="74" customFormat="false" ht="15" hidden="false" customHeight="false" outlineLevel="0" collapsed="false">
      <c r="A74" s="0" t="n">
        <v>10</v>
      </c>
      <c r="B74" s="0" t="s">
        <v>107</v>
      </c>
      <c r="C74" s="0" t="s">
        <v>108</v>
      </c>
      <c r="D74" s="0" t="s">
        <v>109</v>
      </c>
      <c r="E74" s="4" t="n">
        <v>2.47013888888889</v>
      </c>
      <c r="F74" s="0" t="n">
        <v>240</v>
      </c>
      <c r="G74" s="0" t="n">
        <v>240</v>
      </c>
      <c r="H74" s="0" t="n">
        <v>10.54</v>
      </c>
      <c r="I74" s="0" t="s">
        <v>110</v>
      </c>
      <c r="J74" s="0" t="s">
        <v>111</v>
      </c>
      <c r="K74" s="5" t="n">
        <v>45783</v>
      </c>
      <c r="L74" s="0" t="n">
        <v>46</v>
      </c>
      <c r="M74" s="0" t="str">
        <f aca="false">CONCATENATE(B74," ",C74)</f>
        <v>Dean Allcroft</v>
      </c>
      <c r="N74" s="0" t="s">
        <v>4</v>
      </c>
    </row>
    <row r="75" customFormat="false" ht="15" hidden="false" customHeight="false" outlineLevel="0" collapsed="false">
      <c r="A75" s="0" t="n">
        <v>11</v>
      </c>
      <c r="B75" s="0" t="s">
        <v>76</v>
      </c>
      <c r="C75" s="0" t="s">
        <v>77</v>
      </c>
      <c r="D75" s="0" t="s">
        <v>73</v>
      </c>
      <c r="E75" s="6" t="n">
        <v>0.0420717592592593</v>
      </c>
      <c r="F75" s="0" t="n">
        <v>250</v>
      </c>
      <c r="G75" s="0" t="n">
        <v>240</v>
      </c>
      <c r="H75" s="0" t="n">
        <v>11.03</v>
      </c>
      <c r="I75" s="0" t="s">
        <v>112</v>
      </c>
      <c r="J75" s="0" t="s">
        <v>113</v>
      </c>
      <c r="K75" s="5" t="n">
        <v>45753</v>
      </c>
      <c r="L75" s="0" t="n">
        <v>50</v>
      </c>
      <c r="M75" s="0" t="str">
        <f aca="false">CONCATENATE(B75," ",C75)</f>
        <v>Rogers Flynn</v>
      </c>
      <c r="N75" s="0" t="s">
        <v>4</v>
      </c>
    </row>
    <row r="76" customFormat="false" ht="15" hidden="false" customHeight="false" outlineLevel="0" collapsed="false">
      <c r="A76" s="0" t="n">
        <v>12</v>
      </c>
      <c r="B76" s="0" t="s">
        <v>114</v>
      </c>
      <c r="C76" s="0" t="s">
        <v>115</v>
      </c>
      <c r="D76" s="0" t="s">
        <v>116</v>
      </c>
      <c r="E76" s="4" t="n">
        <v>2.30486111111111</v>
      </c>
      <c r="F76" s="0" t="n">
        <v>230</v>
      </c>
      <c r="G76" s="0" t="n">
        <v>230</v>
      </c>
      <c r="H76" s="0" t="n">
        <v>11.49</v>
      </c>
      <c r="I76" s="0" t="s">
        <v>117</v>
      </c>
      <c r="J76" s="0" t="s">
        <v>118</v>
      </c>
      <c r="K76" s="5" t="n">
        <v>45802</v>
      </c>
      <c r="L76" s="0" t="n">
        <v>49</v>
      </c>
      <c r="M76" s="0" t="str">
        <f aca="false">CONCATENATE(B76," ",C76)</f>
        <v>Michael Nicholson</v>
      </c>
      <c r="N76" s="0" t="s">
        <v>4</v>
      </c>
    </row>
    <row r="77" customFormat="false" ht="15" hidden="false" customHeight="false" outlineLevel="0" collapsed="false">
      <c r="A77" s="0" t="n">
        <v>13</v>
      </c>
      <c r="B77" s="0" t="s">
        <v>119</v>
      </c>
      <c r="C77" s="0" t="s">
        <v>120</v>
      </c>
      <c r="D77" s="0" t="s">
        <v>116</v>
      </c>
      <c r="E77" s="4" t="n">
        <v>2.43333333333333</v>
      </c>
      <c r="F77" s="0" t="n">
        <v>230</v>
      </c>
      <c r="G77" s="0" t="n">
        <v>230</v>
      </c>
      <c r="H77" s="0" t="n">
        <v>10.21</v>
      </c>
      <c r="I77" s="0" t="s">
        <v>121</v>
      </c>
      <c r="J77" s="0" t="s">
        <v>122</v>
      </c>
      <c r="K77" s="5" t="n">
        <v>45792</v>
      </c>
      <c r="L77" s="0" t="n">
        <v>3</v>
      </c>
      <c r="M77" s="0" t="str">
        <f aca="false">CONCATENATE(B77," ",C77)</f>
        <v>Steve Dickinson</v>
      </c>
      <c r="N77" s="0" t="s">
        <v>4</v>
      </c>
    </row>
    <row r="78" customFormat="false" ht="15" hidden="false" customHeight="false" outlineLevel="0" collapsed="false">
      <c r="A78" s="0" t="n">
        <v>14</v>
      </c>
      <c r="B78" s="0" t="s">
        <v>123</v>
      </c>
      <c r="C78" s="0" t="s">
        <v>124</v>
      </c>
      <c r="D78" s="0" t="s">
        <v>116</v>
      </c>
      <c r="E78" s="4" t="n">
        <v>2.44861111111111</v>
      </c>
      <c r="F78" s="0" t="n">
        <v>230</v>
      </c>
      <c r="G78" s="0" t="n">
        <v>230</v>
      </c>
      <c r="H78" s="0" t="n">
        <v>10.37</v>
      </c>
      <c r="I78" s="0" t="s">
        <v>125</v>
      </c>
      <c r="J78" s="0" t="s">
        <v>126</v>
      </c>
      <c r="K78" s="5" t="n">
        <v>45803</v>
      </c>
      <c r="L78" s="0" t="n">
        <v>31</v>
      </c>
      <c r="M78" s="0" t="str">
        <f aca="false">CONCATENATE(B78," ",C78)</f>
        <v>Jill Scrivens</v>
      </c>
      <c r="N78" s="0" t="s">
        <v>4</v>
      </c>
    </row>
    <row r="79" customFormat="false" ht="15" hidden="false" customHeight="false" outlineLevel="0" collapsed="false">
      <c r="A79" s="0" t="n">
        <v>15</v>
      </c>
      <c r="B79" s="0" t="s">
        <v>127</v>
      </c>
      <c r="C79" s="0" t="s">
        <v>128</v>
      </c>
      <c r="D79" s="0" t="s">
        <v>116</v>
      </c>
      <c r="E79" s="4" t="n">
        <v>2.44930555555556</v>
      </c>
      <c r="F79" s="0" t="n">
        <v>230</v>
      </c>
      <c r="G79" s="0" t="n">
        <v>230</v>
      </c>
      <c r="H79" s="0" t="n">
        <v>10.5</v>
      </c>
      <c r="I79" s="0" t="s">
        <v>129</v>
      </c>
      <c r="J79" s="0" t="s">
        <v>130</v>
      </c>
      <c r="K79" s="5" t="n">
        <v>45803</v>
      </c>
      <c r="L79" s="0" t="n">
        <v>29</v>
      </c>
      <c r="M79" s="0" t="str">
        <f aca="false">CONCATENATE(B79," ",C79)</f>
        <v>Gemma Nutton</v>
      </c>
      <c r="N79" s="0" t="s">
        <v>4</v>
      </c>
    </row>
    <row r="80" customFormat="false" ht="15" hidden="false" customHeight="false" outlineLevel="0" collapsed="false">
      <c r="A80" s="0" t="n">
        <v>16</v>
      </c>
      <c r="B80" s="0" t="s">
        <v>131</v>
      </c>
      <c r="C80" s="0" t="s">
        <v>72</v>
      </c>
      <c r="D80" s="0" t="s">
        <v>132</v>
      </c>
      <c r="E80" s="6" t="n">
        <v>0.0416782407407407</v>
      </c>
      <c r="F80" s="0" t="n">
        <v>230</v>
      </c>
      <c r="G80" s="0" t="n">
        <v>220</v>
      </c>
      <c r="H80" s="0" t="n">
        <v>10.37</v>
      </c>
      <c r="I80" s="0" t="s">
        <v>133</v>
      </c>
      <c r="J80" s="0" t="s">
        <v>134</v>
      </c>
      <c r="K80" s="5" t="n">
        <v>45805</v>
      </c>
      <c r="L80" s="0" t="n">
        <v>16</v>
      </c>
      <c r="M80" s="0" t="str">
        <f aca="false">CONCATENATE(B80," ",C80)</f>
        <v>Paul Fryers</v>
      </c>
      <c r="N80" s="0" t="s">
        <v>4</v>
      </c>
    </row>
    <row r="81" customFormat="false" ht="15" hidden="false" customHeight="false" outlineLevel="0" collapsed="false">
      <c r="A81" s="0" t="n">
        <v>17</v>
      </c>
      <c r="B81" s="0" t="s">
        <v>135</v>
      </c>
      <c r="C81" s="0" t="s">
        <v>136</v>
      </c>
      <c r="D81" s="0" t="s">
        <v>137</v>
      </c>
      <c r="E81" s="4" t="n">
        <v>2.10416666666667</v>
      </c>
      <c r="F81" s="0" t="n">
        <v>210</v>
      </c>
      <c r="G81" s="0" t="n">
        <v>210</v>
      </c>
      <c r="H81" s="0" t="n">
        <v>8.52</v>
      </c>
      <c r="I81" s="0" t="s">
        <v>138</v>
      </c>
      <c r="J81" s="0" t="s">
        <v>139</v>
      </c>
      <c r="K81" s="5" t="n">
        <v>45777</v>
      </c>
      <c r="L81" s="0" t="n">
        <v>4</v>
      </c>
      <c r="M81" s="0" t="str">
        <f aca="false">CONCATENATE(B81," ",C81)</f>
        <v>Alan Knox</v>
      </c>
      <c r="N81" s="0" t="s">
        <v>4</v>
      </c>
    </row>
    <row r="82" customFormat="false" ht="15" hidden="false" customHeight="false" outlineLevel="0" collapsed="false">
      <c r="A82" s="0" t="n">
        <v>18</v>
      </c>
      <c r="B82" s="0" t="s">
        <v>107</v>
      </c>
      <c r="C82" s="0" t="s">
        <v>108</v>
      </c>
      <c r="D82" s="0" t="s">
        <v>137</v>
      </c>
      <c r="E82" s="4" t="n">
        <v>2.19305555555556</v>
      </c>
      <c r="F82" s="0" t="n">
        <v>210</v>
      </c>
      <c r="G82" s="0" t="n">
        <v>210</v>
      </c>
      <c r="H82" s="0" t="n">
        <v>8.88</v>
      </c>
      <c r="I82" s="0" t="s">
        <v>140</v>
      </c>
      <c r="J82" s="0" t="s">
        <v>141</v>
      </c>
      <c r="K82" s="5" t="n">
        <v>45775</v>
      </c>
      <c r="L82" s="0" t="n">
        <v>26</v>
      </c>
      <c r="M82" s="0" t="str">
        <f aca="false">CONCATENATE(B82," ",C82)</f>
        <v>Dean Allcroft</v>
      </c>
      <c r="N82" s="0" t="s">
        <v>4</v>
      </c>
    </row>
    <row r="83" customFormat="false" ht="15" hidden="false" customHeight="false" outlineLevel="0" collapsed="false">
      <c r="A83" s="0" t="n">
        <v>19</v>
      </c>
      <c r="B83" s="0" t="s">
        <v>131</v>
      </c>
      <c r="C83" s="0" t="s">
        <v>72</v>
      </c>
      <c r="D83" s="0" t="s">
        <v>137</v>
      </c>
      <c r="E83" s="4" t="n">
        <v>2.22361111111111</v>
      </c>
      <c r="F83" s="0" t="n">
        <v>210</v>
      </c>
      <c r="G83" s="0" t="n">
        <v>210</v>
      </c>
      <c r="H83" s="0" t="n">
        <v>8.63</v>
      </c>
      <c r="I83" s="0" t="s">
        <v>142</v>
      </c>
      <c r="J83" s="0" t="s">
        <v>143</v>
      </c>
      <c r="K83" s="5" t="n">
        <v>45752</v>
      </c>
      <c r="L83" s="0" t="n">
        <v>10</v>
      </c>
      <c r="M83" s="0" t="str">
        <f aca="false">CONCATENATE(B83," ",C83)</f>
        <v>Paul Fryers</v>
      </c>
      <c r="N83" s="0" t="s">
        <v>4</v>
      </c>
    </row>
    <row r="84" customFormat="false" ht="15" hidden="false" customHeight="false" outlineLevel="0" collapsed="false">
      <c r="A84" s="0" t="n">
        <v>20</v>
      </c>
      <c r="B84" s="0" t="s">
        <v>103</v>
      </c>
      <c r="C84" s="0" t="s">
        <v>104</v>
      </c>
      <c r="D84" s="0" t="s">
        <v>137</v>
      </c>
      <c r="E84" s="4" t="n">
        <v>2.24652777777778</v>
      </c>
      <c r="F84" s="0" t="n">
        <v>210</v>
      </c>
      <c r="G84" s="0" t="n">
        <v>210</v>
      </c>
      <c r="H84" s="0" t="n">
        <v>9.27</v>
      </c>
      <c r="I84" s="0" t="s">
        <v>144</v>
      </c>
      <c r="J84" s="0" t="s">
        <v>145</v>
      </c>
      <c r="K84" s="5" t="n">
        <v>45794</v>
      </c>
      <c r="L84" s="0" t="n">
        <v>24</v>
      </c>
      <c r="M84" s="0" t="str">
        <f aca="false">CONCATENATE(B84," ",C84)</f>
        <v>Chris Baldwin</v>
      </c>
      <c r="N84" s="0" t="s">
        <v>4</v>
      </c>
    </row>
    <row r="85" customFormat="false" ht="15" hidden="false" customHeight="false" outlineLevel="0" collapsed="false">
      <c r="A85" s="0" t="n">
        <v>21</v>
      </c>
      <c r="B85" s="0" t="s">
        <v>146</v>
      </c>
      <c r="C85" s="0" t="s">
        <v>147</v>
      </c>
      <c r="D85" s="0" t="s">
        <v>148</v>
      </c>
      <c r="E85" s="4" t="n">
        <v>2.27916666666667</v>
      </c>
      <c r="F85" s="0" t="n">
        <v>210</v>
      </c>
      <c r="G85" s="0" t="n">
        <v>210</v>
      </c>
      <c r="H85" s="0" t="n">
        <v>9.97</v>
      </c>
      <c r="I85" s="0" t="s">
        <v>149</v>
      </c>
      <c r="J85" s="0" t="s">
        <v>150</v>
      </c>
      <c r="K85" s="5" t="n">
        <v>45797</v>
      </c>
      <c r="L85" s="0" t="n">
        <v>54</v>
      </c>
      <c r="M85" s="0" t="str">
        <f aca="false">CONCATENATE(B85," ",C85)</f>
        <v>Matthew Coldwell</v>
      </c>
      <c r="N85" s="0" t="s">
        <v>4</v>
      </c>
    </row>
    <row r="86" customFormat="false" ht="15" hidden="false" customHeight="false" outlineLevel="0" collapsed="false">
      <c r="A86" s="0" t="n">
        <v>22</v>
      </c>
      <c r="B86" s="0" t="s">
        <v>119</v>
      </c>
      <c r="C86" s="0" t="s">
        <v>120</v>
      </c>
      <c r="D86" s="0" t="s">
        <v>137</v>
      </c>
      <c r="E86" s="4" t="n">
        <v>2.44513888888889</v>
      </c>
      <c r="F86" s="0" t="n">
        <v>210</v>
      </c>
      <c r="G86" s="0" t="n">
        <v>210</v>
      </c>
      <c r="H86" s="0" t="n">
        <v>9.49</v>
      </c>
      <c r="I86" s="0" t="s">
        <v>151</v>
      </c>
      <c r="J86" s="0" t="s">
        <v>152</v>
      </c>
      <c r="K86" s="5" t="n">
        <v>45764</v>
      </c>
      <c r="L86" s="0" t="n">
        <v>48</v>
      </c>
      <c r="M86" s="0" t="str">
        <f aca="false">CONCATENATE(B86," ",C86)</f>
        <v>Steve Dickinson</v>
      </c>
      <c r="N86" s="0" t="s">
        <v>4</v>
      </c>
    </row>
    <row r="87" customFormat="false" ht="15" hidden="false" customHeight="false" outlineLevel="0" collapsed="false">
      <c r="A87" s="0" t="n">
        <v>23</v>
      </c>
      <c r="B87" s="0" t="s">
        <v>80</v>
      </c>
      <c r="C87" s="0" t="s">
        <v>81</v>
      </c>
      <c r="D87" s="0" t="s">
        <v>153</v>
      </c>
      <c r="E87" s="4" t="n">
        <v>2.11666666666667</v>
      </c>
      <c r="F87" s="0" t="n">
        <v>200</v>
      </c>
      <c r="G87" s="0" t="n">
        <v>200</v>
      </c>
      <c r="H87" s="0" t="n">
        <v>11.1</v>
      </c>
      <c r="I87" s="0" t="s">
        <v>154</v>
      </c>
      <c r="J87" s="0" t="s">
        <v>155</v>
      </c>
      <c r="K87" s="5" t="n">
        <v>45803</v>
      </c>
      <c r="L87" s="0" t="n">
        <v>32</v>
      </c>
      <c r="M87" s="0" t="str">
        <f aca="false">CONCATENATE(B87," ",C87)</f>
        <v>Anthony Wright</v>
      </c>
      <c r="N87" s="0" t="s">
        <v>4</v>
      </c>
    </row>
    <row r="88" customFormat="false" ht="15" hidden="false" customHeight="false" outlineLevel="0" collapsed="false">
      <c r="A88" s="0" t="n">
        <v>24</v>
      </c>
      <c r="B88" s="0" t="s">
        <v>135</v>
      </c>
      <c r="C88" s="0" t="s">
        <v>136</v>
      </c>
      <c r="D88" s="0" t="s">
        <v>156</v>
      </c>
      <c r="E88" s="4" t="n">
        <v>2.46388888888889</v>
      </c>
      <c r="F88" s="0" t="n">
        <v>200</v>
      </c>
      <c r="G88" s="0" t="n">
        <v>200</v>
      </c>
      <c r="H88" s="0" t="n">
        <v>8.45</v>
      </c>
      <c r="I88" s="0" t="s">
        <v>157</v>
      </c>
      <c r="J88" s="0" t="s">
        <v>158</v>
      </c>
      <c r="K88" s="5" t="n">
        <v>45769</v>
      </c>
      <c r="L88" s="0" t="n">
        <v>20</v>
      </c>
      <c r="M88" s="0" t="str">
        <f aca="false">CONCATENATE(B88," ",C88)</f>
        <v>Alan Knox</v>
      </c>
      <c r="N88" s="0" t="s">
        <v>4</v>
      </c>
    </row>
    <row r="89" customFormat="false" ht="15" hidden="false" customHeight="false" outlineLevel="0" collapsed="false">
      <c r="A89" s="0" t="n">
        <v>25</v>
      </c>
      <c r="B89" s="0" t="s">
        <v>131</v>
      </c>
      <c r="C89" s="0" t="s">
        <v>72</v>
      </c>
      <c r="D89" s="0" t="s">
        <v>159</v>
      </c>
      <c r="E89" s="4" t="n">
        <v>2.35486111111111</v>
      </c>
      <c r="F89" s="0" t="n">
        <v>190</v>
      </c>
      <c r="G89" s="0" t="n">
        <v>190</v>
      </c>
      <c r="H89" s="0" t="n">
        <v>8.16</v>
      </c>
      <c r="I89" s="0" t="s">
        <v>160</v>
      </c>
      <c r="J89" s="0" t="s">
        <v>161</v>
      </c>
      <c r="K89" s="5" t="n">
        <v>45760</v>
      </c>
      <c r="L89" s="0" t="n">
        <v>21</v>
      </c>
      <c r="M89" s="0" t="str">
        <f aca="false">CONCATENATE(B89," ",C89)</f>
        <v>Paul Fryers</v>
      </c>
      <c r="N89" s="0" t="s">
        <v>4</v>
      </c>
    </row>
    <row r="90" customFormat="false" ht="15" hidden="false" customHeight="false" outlineLevel="0" collapsed="false">
      <c r="A90" s="0" t="n">
        <v>25</v>
      </c>
      <c r="B90" s="0" t="s">
        <v>162</v>
      </c>
      <c r="C90" s="0" t="s">
        <v>72</v>
      </c>
      <c r="D90" s="0" t="s">
        <v>159</v>
      </c>
      <c r="E90" s="4" t="n">
        <v>2.35486111111111</v>
      </c>
      <c r="F90" s="0" t="n">
        <v>190</v>
      </c>
      <c r="G90" s="0" t="n">
        <v>190</v>
      </c>
      <c r="H90" s="0" t="n">
        <v>8.16</v>
      </c>
      <c r="I90" s="0" t="s">
        <v>160</v>
      </c>
      <c r="J90" s="0" t="s">
        <v>161</v>
      </c>
      <c r="K90" s="5" t="n">
        <v>45760</v>
      </c>
      <c r="L90" s="0" t="n">
        <v>21</v>
      </c>
      <c r="M90" s="0" t="str">
        <f aca="false">CONCATENATE(B90," ",C90)</f>
        <v>Helen Fryers</v>
      </c>
      <c r="N90" s="0" t="s">
        <v>4</v>
      </c>
    </row>
    <row r="91" customFormat="false" ht="15" hidden="false" customHeight="false" outlineLevel="0" collapsed="false">
      <c r="A91" s="0" t="n">
        <v>26</v>
      </c>
      <c r="B91" s="0" t="s">
        <v>80</v>
      </c>
      <c r="C91" s="0" t="s">
        <v>81</v>
      </c>
      <c r="D91" s="0" t="s">
        <v>163</v>
      </c>
      <c r="E91" s="6" t="n">
        <v>0.0424421296296296</v>
      </c>
      <c r="F91" s="0" t="n">
        <v>210</v>
      </c>
      <c r="G91" s="0" t="n">
        <v>190</v>
      </c>
      <c r="H91" s="0" t="n">
        <v>12.21</v>
      </c>
      <c r="I91" s="0" t="s">
        <v>164</v>
      </c>
      <c r="J91" s="0" t="s">
        <v>165</v>
      </c>
      <c r="K91" s="5" t="n">
        <v>45788</v>
      </c>
      <c r="L91" s="0" t="n">
        <v>17</v>
      </c>
      <c r="M91" s="0" t="str">
        <f aca="false">CONCATENATE(B91," ",C91)</f>
        <v>Anthony Wright</v>
      </c>
      <c r="N91" s="0" t="s">
        <v>4</v>
      </c>
    </row>
    <row r="92" customFormat="false" ht="15" hidden="false" customHeight="false" outlineLevel="0" collapsed="false">
      <c r="A92" s="0" t="n">
        <v>27</v>
      </c>
      <c r="B92" s="0" t="s">
        <v>89</v>
      </c>
      <c r="C92" s="0" t="s">
        <v>90</v>
      </c>
      <c r="D92" s="0" t="s">
        <v>166</v>
      </c>
      <c r="E92" s="4" t="n">
        <v>2.33402777777778</v>
      </c>
      <c r="F92" s="0" t="n">
        <v>180</v>
      </c>
      <c r="G92" s="0" t="n">
        <v>180</v>
      </c>
      <c r="H92" s="0" t="n">
        <v>9.03</v>
      </c>
      <c r="I92" s="0" t="s">
        <v>167</v>
      </c>
      <c r="J92" s="0" t="s">
        <v>168</v>
      </c>
      <c r="K92" s="5" t="n">
        <v>45793</v>
      </c>
      <c r="L92" s="0" t="n">
        <v>39</v>
      </c>
      <c r="M92" s="0" t="str">
        <f aca="false">CONCATENATE(B92," ",C92)</f>
        <v>Shaun Swallow</v>
      </c>
      <c r="N92" s="0" t="s">
        <v>4</v>
      </c>
    </row>
    <row r="93" customFormat="false" ht="15" hidden="false" customHeight="false" outlineLevel="0" collapsed="false">
      <c r="A93" s="0" t="n">
        <v>28</v>
      </c>
      <c r="B93" s="0" t="s">
        <v>169</v>
      </c>
      <c r="C93" s="0" t="s">
        <v>170</v>
      </c>
      <c r="D93" s="0" t="s">
        <v>171</v>
      </c>
      <c r="E93" s="4" t="n">
        <v>2.33680555555556</v>
      </c>
      <c r="F93" s="0" t="n">
        <v>180</v>
      </c>
      <c r="G93" s="0" t="n">
        <v>180</v>
      </c>
      <c r="H93" s="0" t="n">
        <v>7.85</v>
      </c>
      <c r="I93" s="0" t="s">
        <v>172</v>
      </c>
      <c r="J93" s="0" t="s">
        <v>173</v>
      </c>
      <c r="K93" s="5" t="n">
        <v>45806</v>
      </c>
      <c r="L93" s="0" t="n">
        <v>33</v>
      </c>
      <c r="M93" s="0" t="str">
        <f aca="false">CONCATENATE(B93," ",C93)</f>
        <v>Nick Whittingham</v>
      </c>
      <c r="N93" s="0" t="s">
        <v>4</v>
      </c>
    </row>
    <row r="94" customFormat="false" ht="15" hidden="false" customHeight="false" outlineLevel="0" collapsed="false">
      <c r="A94" s="0" t="n">
        <v>29</v>
      </c>
      <c r="B94" s="0" t="s">
        <v>135</v>
      </c>
      <c r="C94" s="0" t="s">
        <v>136</v>
      </c>
      <c r="D94" s="0" t="s">
        <v>174</v>
      </c>
      <c r="E94" s="4" t="n">
        <v>2.40208333333333</v>
      </c>
      <c r="F94" s="0" t="n">
        <v>180</v>
      </c>
      <c r="G94" s="0" t="n">
        <v>180</v>
      </c>
      <c r="H94" s="0" t="n">
        <v>9.53</v>
      </c>
      <c r="I94" s="0" t="s">
        <v>175</v>
      </c>
      <c r="J94" s="0" t="s">
        <v>176</v>
      </c>
      <c r="K94" s="5" t="n">
        <v>45762</v>
      </c>
      <c r="L94" s="0" t="n">
        <v>27</v>
      </c>
      <c r="M94" s="0" t="str">
        <f aca="false">CONCATENATE(B94," ",C94)</f>
        <v>Alan Knox</v>
      </c>
      <c r="N94" s="0" t="s">
        <v>4</v>
      </c>
    </row>
    <row r="95" customFormat="false" ht="15" hidden="false" customHeight="false" outlineLevel="0" collapsed="false">
      <c r="A95" s="0" t="n">
        <v>30</v>
      </c>
      <c r="B95" s="0" t="s">
        <v>177</v>
      </c>
      <c r="C95" s="0" t="s">
        <v>178</v>
      </c>
      <c r="D95" s="0" t="s">
        <v>179</v>
      </c>
      <c r="E95" s="4" t="n">
        <v>1.76458333333333</v>
      </c>
      <c r="F95" s="0" t="n">
        <v>160</v>
      </c>
      <c r="G95" s="0" t="n">
        <v>160</v>
      </c>
      <c r="H95" s="0" t="n">
        <v>6.45</v>
      </c>
      <c r="I95" s="0" t="s">
        <v>180</v>
      </c>
      <c r="J95" s="0" t="s">
        <v>181</v>
      </c>
      <c r="K95" s="5" t="n">
        <v>45803</v>
      </c>
      <c r="L95" s="0" t="n">
        <v>40</v>
      </c>
      <c r="M95" s="0" t="str">
        <f aca="false">CONCATENATE(B95," ",C95)</f>
        <v>Sarah Halstead</v>
      </c>
      <c r="N95" s="0" t="s">
        <v>4</v>
      </c>
    </row>
    <row r="96" customFormat="false" ht="15" hidden="false" customHeight="false" outlineLevel="0" collapsed="false">
      <c r="A96" s="0" t="n">
        <v>31</v>
      </c>
      <c r="B96" s="0" t="s">
        <v>182</v>
      </c>
      <c r="C96" s="0" t="s">
        <v>183</v>
      </c>
      <c r="D96" s="0" t="s">
        <v>179</v>
      </c>
      <c r="E96" s="4" t="n">
        <v>1.97430555555556</v>
      </c>
      <c r="F96" s="0" t="n">
        <v>160</v>
      </c>
      <c r="G96" s="0" t="n">
        <v>160</v>
      </c>
      <c r="H96" s="0" t="n">
        <v>6.65</v>
      </c>
      <c r="I96" s="0" t="s">
        <v>184</v>
      </c>
      <c r="J96" s="0" t="s">
        <v>185</v>
      </c>
      <c r="K96" s="5" t="n">
        <v>45771</v>
      </c>
      <c r="L96" s="0" t="n">
        <v>44</v>
      </c>
      <c r="M96" s="0" t="str">
        <f aca="false">CONCATENATE(B96," ",C96)</f>
        <v>Ian Wragg</v>
      </c>
      <c r="N96" s="0" t="s">
        <v>4</v>
      </c>
    </row>
    <row r="97" customFormat="false" ht="15" hidden="false" customHeight="false" outlineLevel="0" collapsed="false">
      <c r="A97" s="0" t="n">
        <v>32</v>
      </c>
      <c r="B97" s="0" t="s">
        <v>186</v>
      </c>
      <c r="C97" s="0" t="s">
        <v>187</v>
      </c>
      <c r="D97" s="0" t="s">
        <v>179</v>
      </c>
      <c r="E97" s="4" t="n">
        <v>2.04444444444444</v>
      </c>
      <c r="F97" s="0" t="n">
        <v>160</v>
      </c>
      <c r="G97" s="0" t="n">
        <v>160</v>
      </c>
      <c r="H97" s="0" t="n">
        <v>6.99</v>
      </c>
      <c r="I97" s="0" t="s">
        <v>188</v>
      </c>
      <c r="J97" s="0" t="s">
        <v>189</v>
      </c>
      <c r="K97" s="5" t="n">
        <v>45797</v>
      </c>
      <c r="L97" s="0" t="n">
        <v>36</v>
      </c>
      <c r="M97" s="0" t="str">
        <f aca="false">CONCATENATE(B97," ",C97)</f>
        <v>Myfanwy Cross</v>
      </c>
      <c r="N97" s="0" t="s">
        <v>4</v>
      </c>
    </row>
    <row r="98" customFormat="false" ht="15" hidden="false" customHeight="false" outlineLevel="0" collapsed="false">
      <c r="A98" s="0" t="n">
        <v>33</v>
      </c>
      <c r="B98" s="0" t="s">
        <v>190</v>
      </c>
      <c r="C98" s="0" t="s">
        <v>191</v>
      </c>
      <c r="D98" s="0" t="s">
        <v>179</v>
      </c>
      <c r="E98" s="4" t="n">
        <v>2.19027777777778</v>
      </c>
      <c r="F98" s="0" t="n">
        <v>160</v>
      </c>
      <c r="G98" s="0" t="n">
        <v>160</v>
      </c>
      <c r="H98" s="0" t="n">
        <v>7.05</v>
      </c>
      <c r="I98" s="0" t="s">
        <v>192</v>
      </c>
      <c r="J98" s="0" t="s">
        <v>193</v>
      </c>
      <c r="K98" s="5" t="n">
        <v>45797</v>
      </c>
      <c r="L98" s="0" t="n">
        <v>14</v>
      </c>
      <c r="M98" s="0" t="str">
        <f aca="false">CONCATENATE(B98," ",C98)</f>
        <v>Stu Smith</v>
      </c>
      <c r="N98" s="0" t="s">
        <v>4</v>
      </c>
    </row>
    <row r="99" customFormat="false" ht="15" hidden="false" customHeight="false" outlineLevel="0" collapsed="false">
      <c r="A99" s="0" t="n">
        <v>34</v>
      </c>
      <c r="B99" s="0" t="s">
        <v>194</v>
      </c>
      <c r="C99" s="0" t="s">
        <v>119</v>
      </c>
      <c r="D99" s="0" t="s">
        <v>179</v>
      </c>
      <c r="E99" s="4" t="n">
        <v>2.20694444444444</v>
      </c>
      <c r="F99" s="0" t="n">
        <v>160</v>
      </c>
      <c r="G99" s="0" t="n">
        <v>160</v>
      </c>
      <c r="H99" s="0" t="n">
        <v>7.28</v>
      </c>
      <c r="I99" s="0" t="s">
        <v>195</v>
      </c>
      <c r="J99" s="0" t="s">
        <v>196</v>
      </c>
      <c r="K99" s="5" t="n">
        <v>45797</v>
      </c>
      <c r="L99" s="0" t="n">
        <v>38</v>
      </c>
      <c r="M99" s="0" t="str">
        <f aca="false">CONCATENATE(B99," ",C99)</f>
        <v>Dommett Steve</v>
      </c>
      <c r="N99" s="0" t="s">
        <v>4</v>
      </c>
    </row>
    <row r="100" customFormat="false" ht="15" hidden="false" customHeight="false" outlineLevel="0" collapsed="false">
      <c r="A100" s="0" t="n">
        <v>35</v>
      </c>
      <c r="B100" s="0" t="s">
        <v>197</v>
      </c>
      <c r="C100" s="0" t="s">
        <v>198</v>
      </c>
      <c r="D100" s="0" t="s">
        <v>179</v>
      </c>
      <c r="E100" s="4" t="n">
        <v>2.36111111111111</v>
      </c>
      <c r="F100" s="0" t="n">
        <v>160</v>
      </c>
      <c r="G100" s="0" t="n">
        <v>160</v>
      </c>
      <c r="H100" s="0" t="n">
        <v>6.71</v>
      </c>
      <c r="I100" s="0" t="s">
        <v>199</v>
      </c>
      <c r="J100" s="0" t="s">
        <v>200</v>
      </c>
      <c r="K100" s="5" t="n">
        <v>45806</v>
      </c>
      <c r="L100" s="0" t="n">
        <v>11</v>
      </c>
      <c r="M100" s="0" t="str">
        <f aca="false">CONCATENATE(B100," ",C100)</f>
        <v>Raymond Brown</v>
      </c>
      <c r="N100" s="0" t="s">
        <v>4</v>
      </c>
    </row>
    <row r="101" customFormat="false" ht="15" hidden="false" customHeight="false" outlineLevel="0" collapsed="false">
      <c r="A101" s="0" t="n">
        <v>36</v>
      </c>
      <c r="B101" s="0" t="s">
        <v>119</v>
      </c>
      <c r="C101" s="0" t="s">
        <v>120</v>
      </c>
      <c r="D101" s="0" t="s">
        <v>201</v>
      </c>
      <c r="E101" s="4" t="n">
        <v>2.36805555555556</v>
      </c>
      <c r="F101" s="0" t="n">
        <v>160</v>
      </c>
      <c r="G101" s="0" t="n">
        <v>160</v>
      </c>
      <c r="H101" s="0" t="n">
        <v>9.19</v>
      </c>
      <c r="I101" s="0" t="s">
        <v>202</v>
      </c>
      <c r="J101" s="0" t="s">
        <v>203</v>
      </c>
      <c r="K101" s="5" t="n">
        <v>45762</v>
      </c>
      <c r="L101" s="0" t="n">
        <v>18</v>
      </c>
      <c r="M101" s="0" t="str">
        <f aca="false">CONCATENATE(B101," ",C101)</f>
        <v>Steve Dickinson</v>
      </c>
      <c r="N101" s="0" t="s">
        <v>4</v>
      </c>
    </row>
    <row r="102" customFormat="false" ht="15" hidden="false" customHeight="false" outlineLevel="0" collapsed="false">
      <c r="A102" s="0" t="n">
        <v>37</v>
      </c>
      <c r="B102" s="0" t="s">
        <v>169</v>
      </c>
      <c r="C102" s="0" t="s">
        <v>170</v>
      </c>
      <c r="D102" s="0" t="s">
        <v>204</v>
      </c>
      <c r="E102" s="4" t="n">
        <v>2.34305555555556</v>
      </c>
      <c r="F102" s="0" t="n">
        <v>150</v>
      </c>
      <c r="G102" s="0" t="n">
        <v>150</v>
      </c>
      <c r="H102" s="0" t="n">
        <v>5.94</v>
      </c>
      <c r="I102" s="0" t="s">
        <v>205</v>
      </c>
      <c r="J102" s="0" t="s">
        <v>206</v>
      </c>
      <c r="K102" s="5" t="n">
        <v>45799</v>
      </c>
      <c r="L102" s="0" t="n">
        <v>53</v>
      </c>
      <c r="M102" s="0" t="str">
        <f aca="false">CONCATENATE(B102," ",C102)</f>
        <v>Nick Whittingham</v>
      </c>
      <c r="N102" s="0" t="s">
        <v>4</v>
      </c>
    </row>
    <row r="103" customFormat="false" ht="15" hidden="false" customHeight="false" outlineLevel="0" collapsed="false">
      <c r="A103" s="0" t="n">
        <v>38</v>
      </c>
      <c r="B103" s="0" t="s">
        <v>135</v>
      </c>
      <c r="C103" s="0" t="s">
        <v>136</v>
      </c>
      <c r="D103" s="0" t="s">
        <v>207</v>
      </c>
      <c r="E103" s="6" t="n">
        <v>0.0418981481481482</v>
      </c>
      <c r="F103" s="0" t="n">
        <v>160</v>
      </c>
      <c r="G103" s="0" t="n">
        <v>150</v>
      </c>
      <c r="H103" s="0" t="n">
        <v>7.75</v>
      </c>
      <c r="I103" s="0" t="s">
        <v>208</v>
      </c>
      <c r="J103" s="0" t="s">
        <v>209</v>
      </c>
      <c r="K103" s="5" t="n">
        <v>45773</v>
      </c>
      <c r="L103" s="0" t="n">
        <v>30</v>
      </c>
      <c r="M103" s="0" t="str">
        <f aca="false">CONCATENATE(B103," ",C103)</f>
        <v>Alan Knox</v>
      </c>
      <c r="N103" s="0" t="s">
        <v>4</v>
      </c>
    </row>
    <row r="104" customFormat="false" ht="15" hidden="false" customHeight="false" outlineLevel="0" collapsed="false">
      <c r="A104" s="0" t="n">
        <v>39</v>
      </c>
      <c r="B104" s="0" t="s">
        <v>123</v>
      </c>
      <c r="C104" s="0" t="s">
        <v>124</v>
      </c>
      <c r="D104" s="0" t="s">
        <v>210</v>
      </c>
      <c r="E104" s="4" t="n">
        <v>2.26597222222222</v>
      </c>
      <c r="F104" s="0" t="n">
        <v>140</v>
      </c>
      <c r="G104" s="0" t="n">
        <v>140</v>
      </c>
      <c r="H104" s="0" t="n">
        <v>8.23</v>
      </c>
      <c r="I104" s="0" t="s">
        <v>211</v>
      </c>
      <c r="J104" s="0" t="s">
        <v>212</v>
      </c>
      <c r="K104" s="5" t="n">
        <v>45788</v>
      </c>
      <c r="L104" s="0" t="n">
        <v>34</v>
      </c>
      <c r="M104" s="0" t="str">
        <f aca="false">CONCATENATE(B104," ",C104)</f>
        <v>Jill Scrivens</v>
      </c>
      <c r="N104" s="0" t="s">
        <v>4</v>
      </c>
    </row>
    <row r="105" customFormat="false" ht="15" hidden="false" customHeight="false" outlineLevel="0" collapsed="false">
      <c r="A105" s="0" t="n">
        <v>40</v>
      </c>
      <c r="B105" s="0" t="s">
        <v>127</v>
      </c>
      <c r="C105" s="0" t="s">
        <v>128</v>
      </c>
      <c r="D105" s="0" t="s">
        <v>210</v>
      </c>
      <c r="E105" s="4" t="n">
        <v>2.26666666666667</v>
      </c>
      <c r="F105" s="0" t="n">
        <v>140</v>
      </c>
      <c r="G105" s="0" t="n">
        <v>140</v>
      </c>
      <c r="H105" s="0" t="n">
        <v>9.64</v>
      </c>
      <c r="I105" s="0" t="s">
        <v>213</v>
      </c>
      <c r="J105" s="0" t="s">
        <v>214</v>
      </c>
      <c r="K105" s="5" t="n">
        <v>45788</v>
      </c>
      <c r="L105" s="0" t="n">
        <v>42</v>
      </c>
      <c r="M105" s="0" t="str">
        <f aca="false">CONCATENATE(B105," ",C105)</f>
        <v>Gemma Nutton</v>
      </c>
      <c r="N105" s="0" t="s">
        <v>4</v>
      </c>
    </row>
    <row r="106" customFormat="false" ht="15" hidden="false" customHeight="false" outlineLevel="0" collapsed="false">
      <c r="A106" s="0" t="n">
        <v>41</v>
      </c>
      <c r="B106" s="0" t="s">
        <v>177</v>
      </c>
      <c r="C106" s="0" t="s">
        <v>178</v>
      </c>
      <c r="D106" s="0" t="s">
        <v>210</v>
      </c>
      <c r="E106" s="4" t="n">
        <v>2.27847222222222</v>
      </c>
      <c r="F106" s="0" t="n">
        <v>140</v>
      </c>
      <c r="G106" s="0" t="n">
        <v>140</v>
      </c>
      <c r="H106" s="0" t="n">
        <v>8.09</v>
      </c>
      <c r="I106" s="0" t="s">
        <v>215</v>
      </c>
      <c r="J106" s="0" t="s">
        <v>216</v>
      </c>
      <c r="K106" s="5" t="n">
        <v>45788</v>
      </c>
      <c r="L106" s="0" t="n">
        <v>45</v>
      </c>
      <c r="M106" s="0" t="str">
        <f aca="false">CONCATENATE(B106," ",C106)</f>
        <v>Sarah Halstead</v>
      </c>
      <c r="N106" s="0" t="s">
        <v>4</v>
      </c>
    </row>
    <row r="107" customFormat="false" ht="15" hidden="false" customHeight="false" outlineLevel="0" collapsed="false">
      <c r="A107" s="0" t="n">
        <v>42</v>
      </c>
      <c r="B107" s="0" t="s">
        <v>99</v>
      </c>
      <c r="C107" s="0" t="s">
        <v>100</v>
      </c>
      <c r="D107" s="0" t="s">
        <v>73</v>
      </c>
      <c r="E107" s="6" t="n">
        <v>0.049212962962963</v>
      </c>
      <c r="F107" s="0" t="n">
        <v>250</v>
      </c>
      <c r="G107" s="0" t="n">
        <v>140</v>
      </c>
      <c r="H107" s="0" t="n">
        <v>11.97</v>
      </c>
      <c r="I107" s="0" t="s">
        <v>217</v>
      </c>
      <c r="J107" s="0" t="s">
        <v>218</v>
      </c>
      <c r="K107" s="5" t="n">
        <v>45785</v>
      </c>
      <c r="L107" s="0" t="n">
        <v>5</v>
      </c>
      <c r="M107" s="0" t="str">
        <f aca="false">CONCATENATE(B107," ",C107)</f>
        <v>Jemma Williams</v>
      </c>
      <c r="N107" s="0" t="s">
        <v>4</v>
      </c>
    </row>
    <row r="108" customFormat="false" ht="15" hidden="false" customHeight="false" outlineLevel="0" collapsed="false">
      <c r="A108" s="0" t="n">
        <v>43</v>
      </c>
      <c r="B108" s="0" t="s">
        <v>219</v>
      </c>
      <c r="C108" s="0" t="s">
        <v>220</v>
      </c>
      <c r="D108" s="0" t="s">
        <v>73</v>
      </c>
      <c r="E108" s="6" t="n">
        <v>0.0492361111111111</v>
      </c>
      <c r="F108" s="0" t="n">
        <v>250</v>
      </c>
      <c r="G108" s="0" t="n">
        <v>140</v>
      </c>
      <c r="H108" s="0" t="n">
        <v>11.68</v>
      </c>
      <c r="I108" s="0" t="s">
        <v>221</v>
      </c>
      <c r="J108" s="0" t="s">
        <v>222</v>
      </c>
      <c r="K108" s="5" t="n">
        <v>45785</v>
      </c>
      <c r="L108" s="0" t="n">
        <v>6</v>
      </c>
      <c r="M108" s="0" t="str">
        <f aca="false">CONCATENATE(B108," ",C108)</f>
        <v>Mark Crossley</v>
      </c>
      <c r="N108" s="0" t="s">
        <v>4</v>
      </c>
    </row>
    <row r="109" customFormat="false" ht="15" hidden="false" customHeight="false" outlineLevel="0" collapsed="false">
      <c r="A109" s="0" t="n">
        <v>44</v>
      </c>
      <c r="B109" s="0" t="s">
        <v>114</v>
      </c>
      <c r="C109" s="0" t="s">
        <v>115</v>
      </c>
      <c r="D109" s="0" t="s">
        <v>73</v>
      </c>
      <c r="E109" s="6" t="n">
        <v>0.0492476851851852</v>
      </c>
      <c r="F109" s="0" t="n">
        <v>250</v>
      </c>
      <c r="G109" s="0" t="n">
        <v>140</v>
      </c>
      <c r="H109" s="0" t="n">
        <v>11.89</v>
      </c>
      <c r="I109" s="0" t="s">
        <v>223</v>
      </c>
      <c r="J109" s="0" t="s">
        <v>224</v>
      </c>
      <c r="K109" s="5" t="n">
        <v>45785</v>
      </c>
      <c r="L109" s="0" t="n">
        <v>19</v>
      </c>
      <c r="M109" s="0" t="str">
        <f aca="false">CONCATENATE(B109," ",C109)</f>
        <v>Michael Nicholson</v>
      </c>
      <c r="N109" s="0" t="s">
        <v>4</v>
      </c>
    </row>
    <row r="110" customFormat="false" ht="15" hidden="false" customHeight="false" outlineLevel="0" collapsed="false">
      <c r="A110" s="0" t="n">
        <v>45</v>
      </c>
      <c r="B110" s="0" t="s">
        <v>190</v>
      </c>
      <c r="C110" s="0" t="s">
        <v>191</v>
      </c>
      <c r="D110" s="0" t="s">
        <v>225</v>
      </c>
      <c r="E110" s="4" t="n">
        <v>2.21666666666667</v>
      </c>
      <c r="F110" s="0" t="n">
        <v>120</v>
      </c>
      <c r="G110" s="0" t="n">
        <v>120</v>
      </c>
      <c r="H110" s="0" t="n">
        <v>6.6</v>
      </c>
      <c r="I110" s="0" t="s">
        <v>226</v>
      </c>
      <c r="J110" s="0" t="s">
        <v>227</v>
      </c>
      <c r="K110" s="5" t="n">
        <v>45792</v>
      </c>
      <c r="L110" s="0" t="n">
        <v>2</v>
      </c>
      <c r="M110" s="0" t="str">
        <f aca="false">CONCATENATE(B110," ",C110)</f>
        <v>Stu Smith</v>
      </c>
      <c r="N110" s="0" t="s">
        <v>4</v>
      </c>
    </row>
    <row r="111" customFormat="false" ht="15" hidden="false" customHeight="false" outlineLevel="0" collapsed="false">
      <c r="A111" s="0" t="n">
        <v>46</v>
      </c>
      <c r="B111" s="0" t="s">
        <v>194</v>
      </c>
      <c r="C111" s="0" t="s">
        <v>119</v>
      </c>
      <c r="D111" s="0" t="s">
        <v>225</v>
      </c>
      <c r="E111" s="4" t="n">
        <v>2.21736111111111</v>
      </c>
      <c r="F111" s="0" t="n">
        <v>120</v>
      </c>
      <c r="G111" s="0" t="n">
        <v>120</v>
      </c>
      <c r="H111" s="0" t="n">
        <v>5.69</v>
      </c>
      <c r="I111" s="0" t="s">
        <v>228</v>
      </c>
      <c r="J111" s="0" t="s">
        <v>229</v>
      </c>
      <c r="K111" s="5" t="n">
        <v>45792</v>
      </c>
      <c r="L111" s="0" t="n">
        <v>52</v>
      </c>
      <c r="M111" s="0" t="str">
        <f aca="false">CONCATENATE(B111," ",C111)</f>
        <v>Dommett Steve</v>
      </c>
      <c r="N111" s="0" t="s">
        <v>4</v>
      </c>
    </row>
    <row r="112" customFormat="false" ht="15" hidden="false" customHeight="false" outlineLevel="0" collapsed="false">
      <c r="A112" s="0" t="n">
        <v>47</v>
      </c>
      <c r="B112" s="0" t="s">
        <v>197</v>
      </c>
      <c r="C112" s="0" t="s">
        <v>198</v>
      </c>
      <c r="D112" s="0" t="s">
        <v>171</v>
      </c>
      <c r="E112" s="6" t="n">
        <v>0.0506597222222222</v>
      </c>
      <c r="F112" s="0" t="n">
        <v>180</v>
      </c>
      <c r="G112" s="0" t="n">
        <v>50</v>
      </c>
      <c r="H112" s="0" t="n">
        <v>8.6</v>
      </c>
      <c r="I112" s="0" t="s">
        <v>230</v>
      </c>
      <c r="J112" s="0" t="s">
        <v>231</v>
      </c>
      <c r="K112" s="5" t="n">
        <v>45805</v>
      </c>
      <c r="L112" s="0" t="n">
        <v>25</v>
      </c>
      <c r="M112" s="0" t="str">
        <f aca="false">CONCATENATE(B112," ",C112)</f>
        <v>Raymond Brown</v>
      </c>
      <c r="N112" s="0" t="s">
        <v>4</v>
      </c>
    </row>
    <row r="113" customFormat="false" ht="15" hidden="false" customHeight="false" outlineLevel="0" collapsed="false">
      <c r="A113" s="0" t="n">
        <v>48</v>
      </c>
      <c r="B113" s="0" t="s">
        <v>80</v>
      </c>
      <c r="C113" s="0" t="s">
        <v>81</v>
      </c>
      <c r="D113" s="0" t="s">
        <v>82</v>
      </c>
      <c r="E113" s="6" t="n">
        <v>0.0619791666666667</v>
      </c>
      <c r="F113" s="0" t="n">
        <v>250</v>
      </c>
      <c r="G113" s="0" t="n">
        <v>-50</v>
      </c>
      <c r="H113" s="0" t="n">
        <v>11.71</v>
      </c>
      <c r="I113" s="0" t="s">
        <v>232</v>
      </c>
      <c r="J113" s="0" t="s">
        <v>233</v>
      </c>
      <c r="K113" s="5" t="n">
        <v>45802</v>
      </c>
      <c r="L113" s="0" t="n">
        <v>9</v>
      </c>
      <c r="M113" s="0" t="str">
        <f aca="false">CONCATENATE(B113," ",C113)</f>
        <v>Anthony Wright</v>
      </c>
      <c r="N113" s="0" t="s">
        <v>4</v>
      </c>
    </row>
    <row r="114" customFormat="false" ht="15" hidden="false" customHeight="false" outlineLevel="0" collapsed="false">
      <c r="A114" s="0" t="n">
        <v>49</v>
      </c>
      <c r="B114" s="0" t="s">
        <v>127</v>
      </c>
      <c r="C114" s="0" t="s">
        <v>128</v>
      </c>
      <c r="D114" s="0" t="s">
        <v>234</v>
      </c>
      <c r="E114" s="6" t="n">
        <v>0.0589930555555556</v>
      </c>
      <c r="F114" s="0" t="n">
        <v>190</v>
      </c>
      <c r="G114" s="0" t="n">
        <v>-60</v>
      </c>
      <c r="H114" s="0" t="n">
        <v>10.36</v>
      </c>
      <c r="I114" s="0" t="s">
        <v>235</v>
      </c>
      <c r="J114" s="0" t="s">
        <v>236</v>
      </c>
      <c r="K114" s="5" t="n">
        <v>45797</v>
      </c>
      <c r="L114" s="0" t="n">
        <v>37</v>
      </c>
      <c r="M114" s="0" t="str">
        <f aca="false">CONCATENATE(B114," ",C114)</f>
        <v>Gemma Nutton</v>
      </c>
      <c r="N114" s="0" t="s">
        <v>4</v>
      </c>
    </row>
    <row r="115" customFormat="false" ht="15" hidden="false" customHeight="false" outlineLevel="0" collapsed="false">
      <c r="A115" s="0" t="n">
        <v>50</v>
      </c>
      <c r="B115" s="0" t="s">
        <v>123</v>
      </c>
      <c r="C115" s="0" t="s">
        <v>124</v>
      </c>
      <c r="D115" s="0" t="s">
        <v>234</v>
      </c>
      <c r="E115" s="6" t="n">
        <v>0.0590393518518519</v>
      </c>
      <c r="F115" s="0" t="n">
        <v>190</v>
      </c>
      <c r="G115" s="0" t="n">
        <v>-70</v>
      </c>
      <c r="H115" s="0" t="n">
        <v>9.83</v>
      </c>
      <c r="I115" s="0" t="s">
        <v>237</v>
      </c>
      <c r="J115" s="0" t="s">
        <v>238</v>
      </c>
      <c r="K115" s="5" t="n">
        <v>45797</v>
      </c>
      <c r="L115" s="0" t="n">
        <v>41</v>
      </c>
      <c r="M115" s="0" t="str">
        <f aca="false">CONCATENATE(B115," ",C115)</f>
        <v>Jill Scrivens</v>
      </c>
      <c r="N115" s="0" t="s">
        <v>4</v>
      </c>
    </row>
    <row r="116" customFormat="false" ht="15" hidden="false" customHeight="false" outlineLevel="0" collapsed="false">
      <c r="A116" s="0" t="n">
        <v>51</v>
      </c>
      <c r="B116" s="0" t="s">
        <v>146</v>
      </c>
      <c r="C116" s="0" t="s">
        <v>147</v>
      </c>
      <c r="D116" s="0" t="s">
        <v>239</v>
      </c>
      <c r="E116" s="6" t="n">
        <v>0.0778009259259259</v>
      </c>
      <c r="F116" s="0" t="n">
        <v>210</v>
      </c>
      <c r="G116" s="0" t="n">
        <v>-320</v>
      </c>
      <c r="H116" s="0" t="n">
        <v>10.25</v>
      </c>
      <c r="I116" s="0" t="s">
        <v>240</v>
      </c>
      <c r="J116" s="0" t="s">
        <v>241</v>
      </c>
      <c r="K116" s="5" t="n">
        <v>45788</v>
      </c>
      <c r="L116" s="0" t="n">
        <v>47</v>
      </c>
      <c r="M116" s="0" t="str">
        <f aca="false">CONCATENATE(B116," ",C116)</f>
        <v>Matthew Coldwell</v>
      </c>
      <c r="N116" s="0" t="s">
        <v>4</v>
      </c>
    </row>
    <row r="117" customFormat="false" ht="15" hidden="false" customHeight="false" outlineLevel="0" collapsed="false">
      <c r="A117" s="0" t="n">
        <v>52</v>
      </c>
      <c r="B117" s="0" t="s">
        <v>186</v>
      </c>
      <c r="C117" s="0" t="s">
        <v>187</v>
      </c>
      <c r="D117" s="0" t="s">
        <v>239</v>
      </c>
      <c r="E117" s="6" t="n">
        <v>0.0778125</v>
      </c>
      <c r="F117" s="0" t="n">
        <v>210</v>
      </c>
      <c r="G117" s="0" t="n">
        <v>-320</v>
      </c>
      <c r="H117" s="0" t="n">
        <v>9.93</v>
      </c>
      <c r="I117" s="0" t="s">
        <v>242</v>
      </c>
      <c r="J117" s="0" t="s">
        <v>243</v>
      </c>
      <c r="K117" s="5" t="n">
        <v>45788</v>
      </c>
      <c r="L117" s="0" t="n">
        <v>12</v>
      </c>
      <c r="M117" s="0" t="str">
        <f aca="false">CONCATENATE(B117," ",C117)</f>
        <v>Myfanwy Cross</v>
      </c>
      <c r="N117" s="0" t="s">
        <v>4</v>
      </c>
    </row>
    <row r="118" customFormat="false" ht="15" hidden="false" customHeight="false" outlineLevel="0" collapsed="false">
      <c r="A118" s="0" t="n">
        <v>53</v>
      </c>
      <c r="B118" s="0" t="s">
        <v>244</v>
      </c>
      <c r="C118" s="0" t="s">
        <v>245</v>
      </c>
      <c r="D118" s="0" t="s">
        <v>246</v>
      </c>
      <c r="E118" s="6" t="n">
        <v>0.0819328703703704</v>
      </c>
      <c r="F118" s="0" t="n">
        <v>180</v>
      </c>
      <c r="G118" s="0" t="n">
        <v>-400</v>
      </c>
      <c r="H118" s="0" t="n">
        <v>9.75</v>
      </c>
      <c r="I118" s="0" t="s">
        <v>247</v>
      </c>
      <c r="J118" s="0" t="s">
        <v>248</v>
      </c>
      <c r="K118" s="5" t="n">
        <v>45767</v>
      </c>
      <c r="L118" s="0" t="n">
        <v>22</v>
      </c>
      <c r="M118" s="0" t="str">
        <f aca="false">CONCATENATE(B118," ",C118)</f>
        <v>Lisa Hinchliffe</v>
      </c>
      <c r="N118" s="0" t="s">
        <v>4</v>
      </c>
    </row>
    <row r="119" customFormat="false" ht="15" hidden="false" customHeight="false" outlineLevel="0" collapsed="false">
      <c r="A119" s="0" t="n">
        <v>1</v>
      </c>
      <c r="B119" s="0" t="s">
        <v>85</v>
      </c>
      <c r="C119" s="0" t="s">
        <v>86</v>
      </c>
      <c r="D119" s="0" t="s">
        <v>335</v>
      </c>
      <c r="E119" s="6" t="n">
        <v>0.0560300925925926</v>
      </c>
      <c r="F119" s="0" t="n">
        <v>200</v>
      </c>
      <c r="G119" s="0" t="n">
        <v>190</v>
      </c>
      <c r="H119" s="0" t="n">
        <v>11.33</v>
      </c>
      <c r="I119" s="0" t="s">
        <v>74</v>
      </c>
      <c r="J119" s="0" t="s">
        <v>88</v>
      </c>
      <c r="K119" s="5" t="n">
        <v>45914</v>
      </c>
      <c r="L119" s="0" t="n">
        <v>19</v>
      </c>
      <c r="M119" s="0" t="str">
        <f aca="false">CONCATENATE(B119," ",C119)</f>
        <v>Jon Hallam</v>
      </c>
      <c r="N119" s="0" t="s">
        <v>2</v>
      </c>
    </row>
    <row r="120" customFormat="false" ht="15" hidden="false" customHeight="false" outlineLevel="0" collapsed="false">
      <c r="A120" s="0" t="n">
        <v>2</v>
      </c>
      <c r="B120" s="0" t="s">
        <v>103</v>
      </c>
      <c r="C120" s="0" t="s">
        <v>104</v>
      </c>
      <c r="D120" s="0" t="s">
        <v>336</v>
      </c>
      <c r="E120" s="7" t="n">
        <v>0</v>
      </c>
      <c r="F120" s="0" t="n">
        <v>170</v>
      </c>
      <c r="G120" s="0" t="n">
        <v>170</v>
      </c>
      <c r="H120" s="0" t="n">
        <v>11.85</v>
      </c>
      <c r="I120" s="0" t="s">
        <v>83</v>
      </c>
      <c r="J120" s="0" t="s">
        <v>106</v>
      </c>
      <c r="K120" s="5" t="n">
        <v>45927</v>
      </c>
      <c r="L120" s="0" t="n">
        <v>12</v>
      </c>
      <c r="M120" s="0" t="str">
        <f aca="false">CONCATENATE(B120," ",C120)</f>
        <v>Chris Baldwin</v>
      </c>
      <c r="N120" s="0" t="s">
        <v>2</v>
      </c>
    </row>
    <row r="121" customFormat="false" ht="15" hidden="false" customHeight="false" outlineLevel="0" collapsed="false">
      <c r="A121" s="0" t="n">
        <v>3</v>
      </c>
      <c r="B121" s="0" t="s">
        <v>103</v>
      </c>
      <c r="C121" s="0" t="s">
        <v>104</v>
      </c>
      <c r="D121" s="0" t="s">
        <v>337</v>
      </c>
      <c r="E121" s="6" t="n">
        <v>0.0543634259259259</v>
      </c>
      <c r="F121" s="0" t="n">
        <v>160</v>
      </c>
      <c r="G121" s="0" t="n">
        <v>160</v>
      </c>
      <c r="H121" s="0" t="n">
        <v>12.62</v>
      </c>
      <c r="I121" s="0" t="s">
        <v>87</v>
      </c>
      <c r="J121" s="0" t="s">
        <v>145</v>
      </c>
      <c r="K121" s="5" t="n">
        <v>45927</v>
      </c>
      <c r="L121" s="0" t="n">
        <v>11</v>
      </c>
      <c r="M121" s="0" t="str">
        <f aca="false">CONCATENATE(B121," ",C121)</f>
        <v>Chris Baldwin</v>
      </c>
      <c r="N121" s="0" t="s">
        <v>2</v>
      </c>
    </row>
    <row r="122" customFormat="false" ht="15" hidden="false" customHeight="false" outlineLevel="0" collapsed="false">
      <c r="A122" s="0" t="n">
        <v>4</v>
      </c>
      <c r="B122" s="0" t="s">
        <v>119</v>
      </c>
      <c r="C122" s="0" t="s">
        <v>120</v>
      </c>
      <c r="D122" s="0" t="s">
        <v>338</v>
      </c>
      <c r="E122" s="6" t="n">
        <v>0.0547453703703704</v>
      </c>
      <c r="F122" s="0" t="n">
        <v>160</v>
      </c>
      <c r="G122" s="0" t="n">
        <v>160</v>
      </c>
      <c r="H122" s="0" t="n">
        <v>9.46</v>
      </c>
      <c r="I122" s="0" t="s">
        <v>92</v>
      </c>
      <c r="J122" s="0" t="s">
        <v>122</v>
      </c>
      <c r="K122" s="5" t="n">
        <v>45881</v>
      </c>
      <c r="L122" s="0" t="n">
        <v>20</v>
      </c>
      <c r="M122" s="0" t="str">
        <f aca="false">CONCATENATE(B122," ",C122)</f>
        <v>Steve Dickinson</v>
      </c>
      <c r="N122" s="0" t="s">
        <v>2</v>
      </c>
    </row>
    <row r="123" customFormat="false" ht="15" hidden="false" customHeight="false" outlineLevel="0" collapsed="false">
      <c r="A123" s="0" t="n">
        <v>5</v>
      </c>
      <c r="B123" s="0" t="s">
        <v>99</v>
      </c>
      <c r="C123" s="0" t="s">
        <v>100</v>
      </c>
      <c r="D123" s="0" t="s">
        <v>339</v>
      </c>
      <c r="E123" s="6" t="n">
        <v>0.0542592592592593</v>
      </c>
      <c r="F123" s="0" t="n">
        <v>150</v>
      </c>
      <c r="G123" s="0" t="n">
        <v>150</v>
      </c>
      <c r="H123" s="0" t="n">
        <v>11.12</v>
      </c>
      <c r="I123" s="0" t="s">
        <v>101</v>
      </c>
      <c r="J123" s="0" t="s">
        <v>102</v>
      </c>
      <c r="K123" s="5" t="n">
        <v>45919</v>
      </c>
      <c r="L123" s="0" t="n">
        <v>23</v>
      </c>
      <c r="M123" s="0" t="str">
        <f aca="false">CONCATENATE(B123," ",C123)</f>
        <v>Jemma Williams</v>
      </c>
      <c r="N123" s="0" t="s">
        <v>2</v>
      </c>
    </row>
    <row r="124" customFormat="false" ht="15" hidden="false" customHeight="false" outlineLevel="0" collapsed="false">
      <c r="A124" s="0" t="n">
        <v>6</v>
      </c>
      <c r="B124" s="0" t="s">
        <v>89</v>
      </c>
      <c r="C124" s="0" t="s">
        <v>90</v>
      </c>
      <c r="D124" s="0" t="s">
        <v>340</v>
      </c>
      <c r="E124" s="6" t="n">
        <v>0.0499537037037037</v>
      </c>
      <c r="F124" s="0" t="n">
        <v>140</v>
      </c>
      <c r="G124" s="0" t="n">
        <v>140</v>
      </c>
      <c r="H124" s="0" t="n">
        <v>10.24</v>
      </c>
      <c r="I124" s="0" t="s">
        <v>95</v>
      </c>
      <c r="J124" s="0" t="s">
        <v>84</v>
      </c>
      <c r="K124" s="5" t="n">
        <v>45928</v>
      </c>
      <c r="L124" s="0" t="n">
        <v>22</v>
      </c>
      <c r="M124" s="0" t="str">
        <f aca="false">CONCATENATE(B124," ",C124)</f>
        <v>Shaun Swallow</v>
      </c>
      <c r="N124" s="0" t="s">
        <v>2</v>
      </c>
    </row>
    <row r="125" customFormat="false" ht="15" hidden="false" customHeight="false" outlineLevel="0" collapsed="false">
      <c r="A125" s="0" t="n">
        <v>7</v>
      </c>
      <c r="B125" s="0" t="s">
        <v>135</v>
      </c>
      <c r="C125" s="0" t="s">
        <v>136</v>
      </c>
      <c r="D125" s="0" t="s">
        <v>341</v>
      </c>
      <c r="E125" s="6" t="n">
        <v>0.0537037037037037</v>
      </c>
      <c r="F125" s="0" t="n">
        <v>140</v>
      </c>
      <c r="G125" s="0" t="n">
        <v>140</v>
      </c>
      <c r="H125" s="0" t="n">
        <v>9.01</v>
      </c>
      <c r="I125" s="0" t="s">
        <v>97</v>
      </c>
      <c r="J125" s="0" t="s">
        <v>139</v>
      </c>
      <c r="K125" s="5" t="n">
        <v>45924</v>
      </c>
      <c r="L125" s="0" t="n">
        <v>10</v>
      </c>
      <c r="M125" s="0" t="str">
        <f aca="false">CONCATENATE(B125," ",C125)</f>
        <v>Alan Knox</v>
      </c>
      <c r="N125" s="0" t="s">
        <v>2</v>
      </c>
    </row>
    <row r="126" customFormat="false" ht="15" hidden="false" customHeight="false" outlineLevel="0" collapsed="false">
      <c r="A126" s="0" t="n">
        <v>8</v>
      </c>
      <c r="B126" s="0" t="s">
        <v>123</v>
      </c>
      <c r="C126" s="0" t="s">
        <v>124</v>
      </c>
      <c r="D126" s="0" t="s">
        <v>342</v>
      </c>
      <c r="E126" s="6" t="n">
        <v>0.054212962962963</v>
      </c>
      <c r="F126" s="0" t="n">
        <v>140</v>
      </c>
      <c r="G126" s="0" t="n">
        <v>140</v>
      </c>
      <c r="H126" s="0" t="n">
        <v>9.41</v>
      </c>
      <c r="I126" s="0" t="s">
        <v>125</v>
      </c>
      <c r="J126" s="0" t="s">
        <v>126</v>
      </c>
      <c r="K126" s="5" t="n">
        <v>45923</v>
      </c>
      <c r="L126" s="0" t="n">
        <v>13</v>
      </c>
      <c r="M126" s="0" t="str">
        <f aca="false">CONCATENATE(B126," ",C126)</f>
        <v>Jill Scrivens</v>
      </c>
      <c r="N126" s="0" t="s">
        <v>2</v>
      </c>
    </row>
    <row r="127" customFormat="false" ht="15" hidden="false" customHeight="false" outlineLevel="0" collapsed="false">
      <c r="A127" s="0" t="n">
        <v>9</v>
      </c>
      <c r="B127" s="0" t="s">
        <v>127</v>
      </c>
      <c r="C127" s="0" t="s">
        <v>128</v>
      </c>
      <c r="D127" s="0" t="s">
        <v>342</v>
      </c>
      <c r="E127" s="6" t="n">
        <v>0.0542476851851852</v>
      </c>
      <c r="F127" s="0" t="n">
        <v>140</v>
      </c>
      <c r="G127" s="0" t="n">
        <v>140</v>
      </c>
      <c r="H127" s="0" t="n">
        <v>10.8</v>
      </c>
      <c r="I127" s="0" t="s">
        <v>129</v>
      </c>
      <c r="J127" s="0" t="s">
        <v>130</v>
      </c>
      <c r="K127" s="5" t="n">
        <v>45923</v>
      </c>
      <c r="L127" s="0" t="n">
        <v>15</v>
      </c>
      <c r="M127" s="0" t="str">
        <f aca="false">CONCATENATE(B127," ",C127)</f>
        <v>Gemma Nutton</v>
      </c>
      <c r="N127" s="0" t="s">
        <v>2</v>
      </c>
    </row>
    <row r="128" customFormat="false" ht="15" hidden="false" customHeight="false" outlineLevel="0" collapsed="false">
      <c r="A128" s="0" t="n">
        <v>10</v>
      </c>
      <c r="B128" s="0" t="s">
        <v>169</v>
      </c>
      <c r="C128" s="0" t="s">
        <v>170</v>
      </c>
      <c r="D128" s="0" t="s">
        <v>343</v>
      </c>
      <c r="E128" s="6" t="n">
        <v>0.0480092592592593</v>
      </c>
      <c r="F128" s="0" t="n">
        <v>120</v>
      </c>
      <c r="G128" s="0" t="n">
        <v>120</v>
      </c>
      <c r="H128" s="0" t="n">
        <v>7.75</v>
      </c>
      <c r="I128" s="0" t="s">
        <v>105</v>
      </c>
      <c r="J128" s="0" t="s">
        <v>158</v>
      </c>
      <c r="K128" s="5" t="n">
        <v>45930</v>
      </c>
      <c r="L128" s="0" t="n">
        <v>17</v>
      </c>
      <c r="M128" s="0" t="str">
        <f aca="false">CONCATENATE(B128," ",C128)</f>
        <v>Nick Whittingham</v>
      </c>
      <c r="N128" s="0" t="s">
        <v>2</v>
      </c>
    </row>
    <row r="129" customFormat="false" ht="15" hidden="false" customHeight="false" outlineLevel="0" collapsed="false">
      <c r="A129" s="0" t="n">
        <v>11</v>
      </c>
      <c r="B129" s="0" t="s">
        <v>135</v>
      </c>
      <c r="C129" s="0" t="s">
        <v>136</v>
      </c>
      <c r="D129" s="0" t="s">
        <v>344</v>
      </c>
      <c r="E129" s="6" t="n">
        <v>0.0487152777777778</v>
      </c>
      <c r="F129" s="0" t="n">
        <v>120</v>
      </c>
      <c r="G129" s="0" t="n">
        <v>120</v>
      </c>
      <c r="H129" s="0" t="n">
        <v>8.17</v>
      </c>
      <c r="I129" s="0" t="s">
        <v>110</v>
      </c>
      <c r="J129" s="0" t="s">
        <v>173</v>
      </c>
      <c r="K129" s="5" t="n">
        <v>45917</v>
      </c>
      <c r="L129" s="0" t="n">
        <v>18</v>
      </c>
      <c r="M129" s="0" t="str">
        <f aca="false">CONCATENATE(B129," ",C129)</f>
        <v>Alan Knox</v>
      </c>
      <c r="N129" s="0" t="s">
        <v>2</v>
      </c>
    </row>
    <row r="130" customFormat="false" ht="15" hidden="false" customHeight="false" outlineLevel="0" collapsed="false">
      <c r="A130" s="0" t="n">
        <v>12</v>
      </c>
      <c r="B130" s="0" t="s">
        <v>169</v>
      </c>
      <c r="C130" s="0" t="s">
        <v>170</v>
      </c>
      <c r="D130" s="0" t="s">
        <v>345</v>
      </c>
      <c r="E130" s="4" t="n">
        <v>2.38819444444444</v>
      </c>
      <c r="F130" s="0" t="n">
        <v>100</v>
      </c>
      <c r="G130" s="0" t="n">
        <v>100</v>
      </c>
      <c r="H130" s="0" t="n">
        <v>6.06</v>
      </c>
      <c r="I130" s="0" t="s">
        <v>117</v>
      </c>
      <c r="J130" s="0" t="s">
        <v>176</v>
      </c>
      <c r="K130" s="5" t="n">
        <v>45925</v>
      </c>
      <c r="L130" s="0" t="n">
        <v>9</v>
      </c>
      <c r="M130" s="0" t="str">
        <f aca="false">CONCATENATE(B130," ",C130)</f>
        <v>Nick Whittingham</v>
      </c>
      <c r="N130" s="0" t="s">
        <v>2</v>
      </c>
    </row>
    <row r="131" customFormat="false" ht="15" hidden="false" customHeight="false" outlineLevel="0" collapsed="false">
      <c r="A131" s="0" t="n">
        <v>13</v>
      </c>
      <c r="B131" s="0" t="s">
        <v>219</v>
      </c>
      <c r="C131" s="0" t="s">
        <v>346</v>
      </c>
      <c r="D131" s="0" t="s">
        <v>347</v>
      </c>
      <c r="E131" s="6" t="n">
        <v>0.0532060185185185</v>
      </c>
      <c r="F131" s="0" t="n">
        <v>100</v>
      </c>
      <c r="G131" s="0" t="n">
        <v>100</v>
      </c>
      <c r="H131" s="0" t="n">
        <v>9.57</v>
      </c>
      <c r="I131" s="0" t="s">
        <v>121</v>
      </c>
      <c r="J131" s="0" t="s">
        <v>152</v>
      </c>
      <c r="K131" s="5" t="n">
        <v>45881</v>
      </c>
      <c r="L131" s="0" t="n">
        <v>6</v>
      </c>
      <c r="M131" s="0" t="str">
        <f aca="false">CONCATENATE(B131," ",C131)</f>
        <v>Mark Pearce</v>
      </c>
      <c r="N131" s="0" t="s">
        <v>2</v>
      </c>
    </row>
    <row r="132" customFormat="false" ht="15" hidden="false" customHeight="false" outlineLevel="0" collapsed="false">
      <c r="A132" s="0" t="n">
        <v>14</v>
      </c>
      <c r="B132" s="0" t="s">
        <v>71</v>
      </c>
      <c r="C132" s="0" t="s">
        <v>72</v>
      </c>
      <c r="D132" s="0" t="s">
        <v>348</v>
      </c>
      <c r="E132" s="6" t="n">
        <v>0.0572800925925926</v>
      </c>
      <c r="F132" s="0" t="n">
        <v>130</v>
      </c>
      <c r="G132" s="0" t="n">
        <v>100</v>
      </c>
      <c r="H132" s="0" t="n">
        <v>10.76</v>
      </c>
      <c r="I132" s="0" t="s">
        <v>133</v>
      </c>
      <c r="J132" s="0" t="s">
        <v>75</v>
      </c>
      <c r="K132" s="5" t="n">
        <v>45921</v>
      </c>
      <c r="L132" s="0" t="n">
        <v>5</v>
      </c>
      <c r="M132" s="0" t="str">
        <f aca="false">CONCATENATE(B132," ",C132)</f>
        <v>Tom Fryers</v>
      </c>
      <c r="N132" s="0" t="s">
        <v>2</v>
      </c>
    </row>
    <row r="133" customFormat="false" ht="15" hidden="false" customHeight="false" outlineLevel="0" collapsed="false">
      <c r="A133" s="0" t="n">
        <v>15</v>
      </c>
      <c r="B133" s="0" t="s">
        <v>103</v>
      </c>
      <c r="C133" s="0" t="s">
        <v>104</v>
      </c>
      <c r="D133" s="0" t="s">
        <v>349</v>
      </c>
      <c r="E133" s="6" t="n">
        <v>0.0595833333333333</v>
      </c>
      <c r="F133" s="0" t="n">
        <v>140</v>
      </c>
      <c r="G133" s="0" t="n">
        <v>80</v>
      </c>
      <c r="H133" s="0" t="n">
        <v>11.62</v>
      </c>
      <c r="I133" s="0" t="s">
        <v>138</v>
      </c>
      <c r="J133" s="0" t="s">
        <v>222</v>
      </c>
      <c r="K133" s="5" t="n">
        <v>45920</v>
      </c>
      <c r="L133" s="0" t="n">
        <v>21</v>
      </c>
      <c r="M133" s="0" t="str">
        <f aca="false">CONCATENATE(B133," ",C133)</f>
        <v>Chris Baldwin</v>
      </c>
      <c r="N133" s="0" t="s">
        <v>2</v>
      </c>
    </row>
    <row r="134" customFormat="false" ht="15" hidden="false" customHeight="false" outlineLevel="0" collapsed="false">
      <c r="A134" s="0" t="n">
        <v>16</v>
      </c>
      <c r="B134" s="0" t="s">
        <v>190</v>
      </c>
      <c r="C134" s="0" t="s">
        <v>191</v>
      </c>
      <c r="D134" s="0" t="s">
        <v>350</v>
      </c>
      <c r="E134" s="6" t="n">
        <v>0.043275462962963</v>
      </c>
      <c r="F134" s="0" t="n">
        <v>60</v>
      </c>
      <c r="G134" s="0" t="n">
        <v>60</v>
      </c>
      <c r="H134" s="0" t="n">
        <v>7.78</v>
      </c>
      <c r="I134" s="0" t="s">
        <v>140</v>
      </c>
      <c r="J134" s="0" t="s">
        <v>193</v>
      </c>
      <c r="K134" s="5" t="n">
        <v>45887</v>
      </c>
      <c r="L134" s="0" t="n">
        <v>16</v>
      </c>
      <c r="M134" s="0" t="str">
        <f aca="false">CONCATENATE(B134," ",C134)</f>
        <v>Stu Smith</v>
      </c>
      <c r="N134" s="0" t="s">
        <v>2</v>
      </c>
    </row>
    <row r="135" customFormat="false" ht="15" hidden="false" customHeight="false" outlineLevel="0" collapsed="false">
      <c r="A135" s="0" t="n">
        <v>17</v>
      </c>
      <c r="B135" s="0" t="s">
        <v>194</v>
      </c>
      <c r="C135" s="0" t="s">
        <v>119</v>
      </c>
      <c r="D135" s="0" t="s">
        <v>350</v>
      </c>
      <c r="E135" s="6" t="n">
        <v>0.043287037037037</v>
      </c>
      <c r="F135" s="0" t="n">
        <v>60</v>
      </c>
      <c r="G135" s="0" t="n">
        <v>60</v>
      </c>
      <c r="H135" s="0" t="n">
        <v>7.45</v>
      </c>
      <c r="I135" s="0" t="s">
        <v>142</v>
      </c>
      <c r="J135" s="0" t="s">
        <v>196</v>
      </c>
      <c r="K135" s="5" t="n">
        <v>45887</v>
      </c>
      <c r="L135" s="0" t="n">
        <v>14</v>
      </c>
      <c r="M135" s="0" t="str">
        <f aca="false">CONCATENATE(B135," ",C135)</f>
        <v>Dommett Steve</v>
      </c>
      <c r="N135" s="0" t="s">
        <v>2</v>
      </c>
    </row>
    <row r="136" customFormat="false" ht="15" hidden="false" customHeight="false" outlineLevel="0" collapsed="false">
      <c r="A136" s="0" t="n">
        <v>18</v>
      </c>
      <c r="B136" s="0" t="s">
        <v>99</v>
      </c>
      <c r="C136" s="0" t="s">
        <v>100</v>
      </c>
      <c r="D136" s="0" t="s">
        <v>351</v>
      </c>
      <c r="E136" s="4" t="n">
        <v>1.96111111111111</v>
      </c>
      <c r="F136" s="0" t="n">
        <v>30</v>
      </c>
      <c r="G136" s="0" t="n">
        <v>30</v>
      </c>
      <c r="H136" s="0" t="n">
        <v>3.65</v>
      </c>
      <c r="I136" s="0" t="s">
        <v>180</v>
      </c>
      <c r="J136" s="0" t="s">
        <v>189</v>
      </c>
      <c r="K136" s="5" t="n">
        <v>45919</v>
      </c>
      <c r="L136" s="0" t="n">
        <v>2</v>
      </c>
      <c r="M136" s="0" t="str">
        <f aca="false">CONCATENATE(B136," ",C136)</f>
        <v>Jemma Williams</v>
      </c>
      <c r="N136" s="0" t="s">
        <v>2</v>
      </c>
    </row>
    <row r="137" customFormat="false" ht="15" hidden="false" customHeight="false" outlineLevel="0" collapsed="false">
      <c r="A137" s="0" t="n">
        <v>19</v>
      </c>
      <c r="B137" s="0" t="s">
        <v>127</v>
      </c>
      <c r="C137" s="0" t="s">
        <v>128</v>
      </c>
      <c r="D137" s="0" t="s">
        <v>352</v>
      </c>
      <c r="E137" s="6" t="n">
        <v>0.0552777777777778</v>
      </c>
      <c r="F137" s="0" t="n">
        <v>30</v>
      </c>
      <c r="G137" s="0" t="n">
        <v>30</v>
      </c>
      <c r="H137" s="0" t="n">
        <v>6.48</v>
      </c>
      <c r="I137" s="0" t="s">
        <v>188</v>
      </c>
      <c r="J137" s="0" t="s">
        <v>214</v>
      </c>
      <c r="K137" s="5" t="n">
        <v>45912</v>
      </c>
      <c r="L137" s="0" t="n">
        <v>4</v>
      </c>
      <c r="M137" s="0" t="str">
        <f aca="false">CONCATENATE(B137," ",C137)</f>
        <v>Gemma Nutton</v>
      </c>
      <c r="N137" s="0" t="s">
        <v>2</v>
      </c>
    </row>
    <row r="138" customFormat="false" ht="15" hidden="false" customHeight="false" outlineLevel="0" collapsed="false">
      <c r="A138" s="0" t="n">
        <v>20</v>
      </c>
      <c r="B138" s="0" t="s">
        <v>103</v>
      </c>
      <c r="C138" s="0" t="s">
        <v>104</v>
      </c>
      <c r="D138" s="0" t="s">
        <v>344</v>
      </c>
      <c r="E138" s="6" t="n">
        <v>0.0871759259259259</v>
      </c>
      <c r="F138" s="0" t="n">
        <v>120</v>
      </c>
      <c r="G138" s="0" t="n">
        <v>-340</v>
      </c>
      <c r="H138" s="0" t="n">
        <v>13.32</v>
      </c>
      <c r="I138" s="0" t="s">
        <v>144</v>
      </c>
      <c r="J138" s="0" t="s">
        <v>287</v>
      </c>
      <c r="K138" s="5" t="n">
        <v>45906</v>
      </c>
      <c r="L138" s="0" t="n">
        <v>3</v>
      </c>
      <c r="M138" s="0" t="str">
        <f aca="false">CONCATENATE(B138," ",C138)</f>
        <v>Chris Baldwin</v>
      </c>
      <c r="N138" s="0" t="s">
        <v>2</v>
      </c>
    </row>
    <row r="139" customFormat="false" ht="15" hidden="false" customHeight="false" outlineLevel="0" collapsed="false">
      <c r="A139" s="0" t="n">
        <v>21</v>
      </c>
      <c r="B139" s="0" t="s">
        <v>123</v>
      </c>
      <c r="C139" s="0" t="s">
        <v>124</v>
      </c>
      <c r="D139" s="0" t="s">
        <v>353</v>
      </c>
      <c r="E139" s="6" t="n">
        <v>0.089224537037037</v>
      </c>
      <c r="F139" s="0" t="n">
        <v>110</v>
      </c>
      <c r="G139" s="0" t="n">
        <v>-380</v>
      </c>
      <c r="H139" s="0" t="n">
        <v>10.09</v>
      </c>
      <c r="I139" s="0" t="s">
        <v>211</v>
      </c>
      <c r="J139" s="0" t="s">
        <v>181</v>
      </c>
      <c r="K139" s="5" t="n">
        <v>45896</v>
      </c>
      <c r="L139" s="0" t="n">
        <v>24</v>
      </c>
      <c r="M139" s="0" t="str">
        <f aca="false">CONCATENATE(B139," ",C139)</f>
        <v>Jill Scrivens</v>
      </c>
      <c r="N139" s="0" t="s">
        <v>2</v>
      </c>
    </row>
    <row r="140" customFormat="false" ht="15" hidden="false" customHeight="false" outlineLevel="0" collapsed="false">
      <c r="A140" s="0" t="n">
        <v>22</v>
      </c>
      <c r="B140" s="0" t="s">
        <v>127</v>
      </c>
      <c r="C140" s="0" t="s">
        <v>128</v>
      </c>
      <c r="D140" s="0" t="s">
        <v>353</v>
      </c>
      <c r="E140" s="6" t="n">
        <v>0.0892476851851852</v>
      </c>
      <c r="F140" s="0" t="n">
        <v>110</v>
      </c>
      <c r="G140" s="0" t="n">
        <v>-380</v>
      </c>
      <c r="H140" s="0" t="n">
        <v>13.18</v>
      </c>
      <c r="I140" s="0" t="s">
        <v>213</v>
      </c>
      <c r="J140" s="0" t="s">
        <v>236</v>
      </c>
      <c r="K140" s="5" t="n">
        <v>45896</v>
      </c>
      <c r="L140" s="0" t="n">
        <v>8</v>
      </c>
      <c r="M140" s="0" t="str">
        <f aca="false">CONCATENATE(B140," ",C140)</f>
        <v>Gemma Nutton</v>
      </c>
      <c r="N140" s="0" t="s">
        <v>2</v>
      </c>
    </row>
    <row r="141" customFormat="false" ht="15" hidden="false" customHeight="false" outlineLevel="0" collapsed="false">
      <c r="A141" s="0" t="n">
        <v>23</v>
      </c>
      <c r="B141" s="0" t="s">
        <v>99</v>
      </c>
      <c r="C141" s="0" t="s">
        <v>100</v>
      </c>
      <c r="D141" s="0" t="s">
        <v>354</v>
      </c>
      <c r="E141" s="6" t="n">
        <v>0.0893402777777778</v>
      </c>
      <c r="F141" s="0" t="n">
        <v>100</v>
      </c>
      <c r="G141" s="0" t="n">
        <v>-390</v>
      </c>
      <c r="H141" s="0" t="n">
        <v>9.45</v>
      </c>
      <c r="I141" s="0" t="s">
        <v>215</v>
      </c>
      <c r="J141" s="0" t="s">
        <v>218</v>
      </c>
      <c r="K141" s="5" t="n">
        <v>45896</v>
      </c>
      <c r="L141" s="0" t="n">
        <v>7</v>
      </c>
      <c r="M141" s="0" t="str">
        <f aca="false">CONCATENATE(B141," ",C141)</f>
        <v>Jemma Williams</v>
      </c>
      <c r="N141" s="0" t="s">
        <v>2</v>
      </c>
    </row>
    <row r="142" customFormat="false" ht="15" hidden="false" customHeight="false" outlineLevel="0" collapsed="false">
      <c r="A142" s="0" t="n">
        <v>1</v>
      </c>
      <c r="B142" s="0" t="s">
        <v>85</v>
      </c>
      <c r="C142" s="0" t="s">
        <v>86</v>
      </c>
      <c r="D142" s="0" t="s">
        <v>355</v>
      </c>
      <c r="E142" s="4" t="n">
        <v>1.96875</v>
      </c>
      <c r="F142" s="0" t="n">
        <v>250</v>
      </c>
      <c r="G142" s="0" t="n">
        <v>250</v>
      </c>
      <c r="H142" s="0" t="n">
        <v>10.24</v>
      </c>
      <c r="I142" s="0" t="s">
        <v>74</v>
      </c>
      <c r="J142" s="0" t="s">
        <v>88</v>
      </c>
      <c r="K142" s="5" t="n">
        <v>45916</v>
      </c>
      <c r="L142" s="0" t="n">
        <v>22</v>
      </c>
      <c r="M142" s="0" t="str">
        <f aca="false">CONCATENATE(B142," ",C142)</f>
        <v>Jon Hallam</v>
      </c>
      <c r="N142" s="0" t="s">
        <v>6</v>
      </c>
    </row>
    <row r="143" customFormat="false" ht="15" hidden="false" customHeight="false" outlineLevel="0" collapsed="false">
      <c r="A143" s="0" t="n">
        <v>2</v>
      </c>
      <c r="B143" s="0" t="s">
        <v>85</v>
      </c>
      <c r="C143" s="0" t="s">
        <v>86</v>
      </c>
      <c r="D143" s="0" t="s">
        <v>355</v>
      </c>
      <c r="E143" s="4" t="n">
        <v>2.05625</v>
      </c>
      <c r="F143" s="0" t="n">
        <v>250</v>
      </c>
      <c r="G143" s="0" t="n">
        <v>250</v>
      </c>
      <c r="H143" s="0" t="n">
        <v>10.31</v>
      </c>
      <c r="I143" s="0" t="s">
        <v>83</v>
      </c>
      <c r="J143" s="0" t="s">
        <v>252</v>
      </c>
      <c r="K143" s="5" t="n">
        <v>45902</v>
      </c>
      <c r="L143" s="0" t="n">
        <v>6</v>
      </c>
      <c r="M143" s="0" t="str">
        <f aca="false">CONCATENATE(B143," ",C143)</f>
        <v>Jon Hallam</v>
      </c>
      <c r="N143" s="0" t="s">
        <v>6</v>
      </c>
    </row>
    <row r="144" customFormat="false" ht="15" hidden="false" customHeight="false" outlineLevel="0" collapsed="false">
      <c r="A144" s="0" t="n">
        <v>3</v>
      </c>
      <c r="B144" s="0" t="s">
        <v>85</v>
      </c>
      <c r="C144" s="0" t="s">
        <v>86</v>
      </c>
      <c r="D144" s="0" t="s">
        <v>355</v>
      </c>
      <c r="E144" s="4" t="n">
        <v>2.05625</v>
      </c>
      <c r="F144" s="0" t="n">
        <v>250</v>
      </c>
      <c r="G144" s="0" t="n">
        <v>250</v>
      </c>
      <c r="H144" s="0" t="n">
        <v>10.31</v>
      </c>
      <c r="I144" s="0" t="s">
        <v>87</v>
      </c>
      <c r="J144" s="0" t="s">
        <v>98</v>
      </c>
      <c r="K144" s="5" t="n">
        <v>45902</v>
      </c>
      <c r="L144" s="0" t="n">
        <v>16</v>
      </c>
      <c r="M144" s="0" t="str">
        <f aca="false">CONCATENATE(B144," ",C144)</f>
        <v>Jon Hallam</v>
      </c>
      <c r="N144" s="0" t="s">
        <v>6</v>
      </c>
    </row>
    <row r="145" customFormat="false" ht="15" hidden="false" customHeight="false" outlineLevel="0" collapsed="false">
      <c r="A145" s="0" t="n">
        <v>4</v>
      </c>
      <c r="B145" s="0" t="s">
        <v>71</v>
      </c>
      <c r="C145" s="0" t="s">
        <v>72</v>
      </c>
      <c r="D145" s="0" t="s">
        <v>356</v>
      </c>
      <c r="E145" s="4" t="n">
        <v>2.08125</v>
      </c>
      <c r="F145" s="0" t="n">
        <v>250</v>
      </c>
      <c r="G145" s="0" t="n">
        <v>250</v>
      </c>
      <c r="H145" s="0" t="n">
        <v>10.19</v>
      </c>
      <c r="I145" s="0" t="s">
        <v>92</v>
      </c>
      <c r="J145" s="0" t="s">
        <v>75</v>
      </c>
      <c r="K145" s="5" t="n">
        <v>45920</v>
      </c>
      <c r="L145" s="0" t="n">
        <v>30</v>
      </c>
      <c r="M145" s="0" t="str">
        <f aca="false">CONCATENATE(B145," ",C145)</f>
        <v>Tom Fryers</v>
      </c>
      <c r="N145" s="0" t="s">
        <v>6</v>
      </c>
    </row>
    <row r="146" customFormat="false" ht="15" hidden="false" customHeight="false" outlineLevel="0" collapsed="false">
      <c r="A146" s="0" t="n">
        <v>5</v>
      </c>
      <c r="B146" s="0" t="s">
        <v>89</v>
      </c>
      <c r="C146" s="0" t="s">
        <v>90</v>
      </c>
      <c r="D146" s="0" t="s">
        <v>357</v>
      </c>
      <c r="E146" s="4" t="n">
        <v>1.80902777777778</v>
      </c>
      <c r="F146" s="0" t="n">
        <v>210</v>
      </c>
      <c r="G146" s="0" t="n">
        <v>210</v>
      </c>
      <c r="H146" s="0" t="n">
        <v>9.47</v>
      </c>
      <c r="I146" s="0" t="s">
        <v>95</v>
      </c>
      <c r="J146" s="0" t="s">
        <v>84</v>
      </c>
      <c r="K146" s="5" t="n">
        <v>45890</v>
      </c>
      <c r="L146" s="0" t="n">
        <v>19</v>
      </c>
      <c r="M146" s="0" t="str">
        <f aca="false">CONCATENATE(B146," ",C146)</f>
        <v>Shaun Swallow</v>
      </c>
      <c r="N146" s="0" t="s">
        <v>6</v>
      </c>
    </row>
    <row r="147" customFormat="false" ht="15" hidden="false" customHeight="false" outlineLevel="0" collapsed="false">
      <c r="A147" s="0" t="n">
        <v>6</v>
      </c>
      <c r="B147" s="0" t="s">
        <v>103</v>
      </c>
      <c r="C147" s="0" t="s">
        <v>104</v>
      </c>
      <c r="D147" s="0" t="s">
        <v>357</v>
      </c>
      <c r="E147" s="4" t="n">
        <v>1.95833333333333</v>
      </c>
      <c r="F147" s="0" t="n">
        <v>210</v>
      </c>
      <c r="G147" s="0" t="n">
        <v>210</v>
      </c>
      <c r="H147" s="0" t="n">
        <v>9.02</v>
      </c>
      <c r="I147" s="0" t="s">
        <v>97</v>
      </c>
      <c r="J147" s="0" t="s">
        <v>106</v>
      </c>
      <c r="K147" s="5" t="n">
        <v>45904</v>
      </c>
      <c r="L147" s="0" t="n">
        <v>7</v>
      </c>
      <c r="M147" s="0" t="str">
        <f aca="false">CONCATENATE(B147," ",C147)</f>
        <v>Chris Baldwin</v>
      </c>
      <c r="N147" s="0" t="s">
        <v>6</v>
      </c>
    </row>
    <row r="148" customFormat="false" ht="15" hidden="false" customHeight="false" outlineLevel="0" collapsed="false">
      <c r="A148" s="0" t="n">
        <v>7</v>
      </c>
      <c r="B148" s="0" t="s">
        <v>103</v>
      </c>
      <c r="C148" s="0" t="s">
        <v>104</v>
      </c>
      <c r="D148" s="0" t="s">
        <v>357</v>
      </c>
      <c r="E148" s="4" t="n">
        <v>1.96875</v>
      </c>
      <c r="F148" s="0" t="n">
        <v>210</v>
      </c>
      <c r="G148" s="0" t="n">
        <v>210</v>
      </c>
      <c r="H148" s="0" t="n">
        <v>9.09</v>
      </c>
      <c r="I148" s="0" t="s">
        <v>105</v>
      </c>
      <c r="J148" s="0" t="s">
        <v>145</v>
      </c>
      <c r="K148" s="5" t="n">
        <v>45913</v>
      </c>
      <c r="L148" s="0" t="n">
        <v>21</v>
      </c>
      <c r="M148" s="0" t="str">
        <f aca="false">CONCATENATE(B148," ",C148)</f>
        <v>Chris Baldwin</v>
      </c>
      <c r="N148" s="0" t="s">
        <v>6</v>
      </c>
    </row>
    <row r="149" customFormat="false" ht="15" hidden="false" customHeight="false" outlineLevel="0" collapsed="false">
      <c r="A149" s="0" t="n">
        <v>8</v>
      </c>
      <c r="B149" s="0" t="s">
        <v>119</v>
      </c>
      <c r="C149" s="0" t="s">
        <v>120</v>
      </c>
      <c r="D149" s="0" t="s">
        <v>358</v>
      </c>
      <c r="E149" s="4" t="n">
        <v>2.00416666666667</v>
      </c>
      <c r="F149" s="0" t="n">
        <v>210</v>
      </c>
      <c r="G149" s="0" t="n">
        <v>210</v>
      </c>
      <c r="H149" s="0" t="n">
        <v>8.85</v>
      </c>
      <c r="I149" s="0" t="s">
        <v>110</v>
      </c>
      <c r="J149" s="0" t="s">
        <v>122</v>
      </c>
      <c r="K149" s="5" t="n">
        <v>45923</v>
      </c>
      <c r="L149" s="0" t="n">
        <v>39</v>
      </c>
      <c r="M149" s="0" t="str">
        <f aca="false">CONCATENATE(B149," ",C149)</f>
        <v>Steve Dickinson</v>
      </c>
      <c r="N149" s="0" t="s">
        <v>6</v>
      </c>
    </row>
    <row r="150" customFormat="false" ht="15" hidden="false" customHeight="false" outlineLevel="0" collapsed="false">
      <c r="A150" s="0" t="n">
        <v>9</v>
      </c>
      <c r="B150" s="0" t="s">
        <v>127</v>
      </c>
      <c r="C150" s="0" t="s">
        <v>128</v>
      </c>
      <c r="D150" s="0" t="s">
        <v>357</v>
      </c>
      <c r="E150" s="4" t="n">
        <v>2.01597222222222</v>
      </c>
      <c r="F150" s="0" t="n">
        <v>210</v>
      </c>
      <c r="G150" s="0" t="n">
        <v>210</v>
      </c>
      <c r="H150" s="0" t="n">
        <v>9.95</v>
      </c>
      <c r="I150" s="0" t="s">
        <v>101</v>
      </c>
      <c r="J150" s="0" t="s">
        <v>130</v>
      </c>
      <c r="K150" s="5" t="n">
        <v>45913</v>
      </c>
      <c r="L150" s="0" t="n">
        <v>17</v>
      </c>
      <c r="M150" s="0" t="str">
        <f aca="false">CONCATENATE(B150," ",C150)</f>
        <v>Gemma Nutton</v>
      </c>
      <c r="N150" s="0" t="s">
        <v>6</v>
      </c>
    </row>
    <row r="151" customFormat="false" ht="15" hidden="false" customHeight="false" outlineLevel="0" collapsed="false">
      <c r="A151" s="0" t="n">
        <v>10</v>
      </c>
      <c r="B151" s="0" t="s">
        <v>99</v>
      </c>
      <c r="C151" s="0" t="s">
        <v>100</v>
      </c>
      <c r="D151" s="0" t="s">
        <v>359</v>
      </c>
      <c r="E151" s="4" t="n">
        <v>2.05555555555556</v>
      </c>
      <c r="F151" s="0" t="n">
        <v>210</v>
      </c>
      <c r="G151" s="0" t="n">
        <v>210</v>
      </c>
      <c r="H151" s="0" t="n">
        <v>9.65</v>
      </c>
      <c r="I151" s="0" t="s">
        <v>125</v>
      </c>
      <c r="J151" s="0" t="s">
        <v>102</v>
      </c>
      <c r="K151" s="5" t="n">
        <v>45908</v>
      </c>
      <c r="L151" s="0" t="n">
        <v>38</v>
      </c>
      <c r="M151" s="0" t="str">
        <f aca="false">CONCATENATE(B151," ",C151)</f>
        <v>Jemma Williams</v>
      </c>
      <c r="N151" s="0" t="s">
        <v>6</v>
      </c>
    </row>
    <row r="152" customFormat="false" ht="15" hidden="false" customHeight="false" outlineLevel="0" collapsed="false">
      <c r="A152" s="0" t="n">
        <v>11</v>
      </c>
      <c r="B152" s="0" t="s">
        <v>107</v>
      </c>
      <c r="C152" s="0" t="s">
        <v>108</v>
      </c>
      <c r="D152" s="0" t="s">
        <v>360</v>
      </c>
      <c r="E152" s="4" t="n">
        <v>2.09236111111111</v>
      </c>
      <c r="F152" s="0" t="n">
        <v>210</v>
      </c>
      <c r="G152" s="0" t="n">
        <v>200</v>
      </c>
      <c r="H152" s="0" t="n">
        <v>9.19</v>
      </c>
      <c r="I152" s="0" t="s">
        <v>117</v>
      </c>
      <c r="J152" s="0" t="s">
        <v>93</v>
      </c>
      <c r="K152" s="5" t="n">
        <v>45900</v>
      </c>
      <c r="L152" s="0" t="n">
        <v>23</v>
      </c>
      <c r="M152" s="0" t="str">
        <f aca="false">CONCATENATE(B152," ",C152)</f>
        <v>Dean Allcroft</v>
      </c>
      <c r="N152" s="0" t="s">
        <v>6</v>
      </c>
    </row>
    <row r="153" customFormat="false" ht="15" hidden="false" customHeight="false" outlineLevel="0" collapsed="false">
      <c r="A153" s="0" t="n">
        <v>12</v>
      </c>
      <c r="B153" s="0" t="s">
        <v>119</v>
      </c>
      <c r="C153" s="0" t="s">
        <v>120</v>
      </c>
      <c r="D153" s="0" t="s">
        <v>361</v>
      </c>
      <c r="E153" s="4" t="n">
        <v>1.75347222222222</v>
      </c>
      <c r="F153" s="0" t="n">
        <v>180</v>
      </c>
      <c r="G153" s="0" t="n">
        <v>180</v>
      </c>
      <c r="H153" s="0" t="n">
        <v>7.63</v>
      </c>
      <c r="I153" s="0" t="s">
        <v>121</v>
      </c>
      <c r="J153" s="0" t="s">
        <v>152</v>
      </c>
      <c r="K153" s="5" t="n">
        <v>45897</v>
      </c>
      <c r="L153" s="0" t="n">
        <v>43</v>
      </c>
      <c r="M153" s="0" t="str">
        <f aca="false">CONCATENATE(B153," ",C153)</f>
        <v>Steve Dickinson</v>
      </c>
      <c r="N153" s="0" t="s">
        <v>6</v>
      </c>
    </row>
    <row r="154" customFormat="false" ht="15" hidden="false" customHeight="false" outlineLevel="0" collapsed="false">
      <c r="A154" s="0" t="n">
        <v>13</v>
      </c>
      <c r="B154" s="0" t="s">
        <v>123</v>
      </c>
      <c r="C154" s="0" t="s">
        <v>124</v>
      </c>
      <c r="D154" s="0" t="s">
        <v>362</v>
      </c>
      <c r="E154" s="4" t="n">
        <v>1.79027777777778</v>
      </c>
      <c r="F154" s="0" t="n">
        <v>180</v>
      </c>
      <c r="G154" s="0" t="n">
        <v>180</v>
      </c>
      <c r="H154" s="0" t="n">
        <v>8.31</v>
      </c>
      <c r="I154" s="0" t="s">
        <v>129</v>
      </c>
      <c r="J154" s="0" t="s">
        <v>126</v>
      </c>
      <c r="K154" s="5" t="n">
        <v>45890</v>
      </c>
      <c r="L154" s="0" t="n">
        <v>28</v>
      </c>
      <c r="M154" s="0" t="str">
        <f aca="false">CONCATENATE(B154," ",C154)</f>
        <v>Jill Scrivens</v>
      </c>
      <c r="N154" s="0" t="s">
        <v>6</v>
      </c>
    </row>
    <row r="155" customFormat="false" ht="15" hidden="false" customHeight="false" outlineLevel="0" collapsed="false">
      <c r="A155" s="0" t="n">
        <v>14</v>
      </c>
      <c r="B155" s="0" t="s">
        <v>127</v>
      </c>
      <c r="C155" s="0" t="s">
        <v>128</v>
      </c>
      <c r="D155" s="0" t="s">
        <v>362</v>
      </c>
      <c r="E155" s="4" t="n">
        <v>1.80138888888889</v>
      </c>
      <c r="F155" s="0" t="n">
        <v>180</v>
      </c>
      <c r="G155" s="0" t="n">
        <v>180</v>
      </c>
      <c r="H155" s="0" t="n">
        <v>9.44</v>
      </c>
      <c r="I155" s="0" t="s">
        <v>180</v>
      </c>
      <c r="J155" s="0" t="s">
        <v>214</v>
      </c>
      <c r="K155" s="5" t="n">
        <v>45890</v>
      </c>
      <c r="L155" s="0" t="n">
        <v>36</v>
      </c>
      <c r="M155" s="0" t="str">
        <f aca="false">CONCATENATE(B155," ",C155)</f>
        <v>Gemma Nutton</v>
      </c>
      <c r="N155" s="0" t="s">
        <v>6</v>
      </c>
    </row>
    <row r="156" customFormat="false" ht="15" hidden="false" customHeight="false" outlineLevel="0" collapsed="false">
      <c r="A156" s="0" t="n">
        <v>15</v>
      </c>
      <c r="B156" s="0" t="s">
        <v>131</v>
      </c>
      <c r="C156" s="0" t="s">
        <v>72</v>
      </c>
      <c r="D156" s="0" t="s">
        <v>363</v>
      </c>
      <c r="E156" s="4" t="n">
        <v>1.97291666666667</v>
      </c>
      <c r="F156" s="0" t="n">
        <v>180</v>
      </c>
      <c r="G156" s="0" t="n">
        <v>180</v>
      </c>
      <c r="H156" s="0" t="n">
        <v>8.21</v>
      </c>
      <c r="I156" s="0" t="s">
        <v>133</v>
      </c>
      <c r="J156" s="0" t="s">
        <v>111</v>
      </c>
      <c r="K156" s="5" t="n">
        <v>45922</v>
      </c>
      <c r="L156" s="0" t="n">
        <v>20</v>
      </c>
      <c r="M156" s="0" t="str">
        <f aca="false">CONCATENATE(B156," ",C156)</f>
        <v>Paul Fryers</v>
      </c>
      <c r="N156" s="0" t="s">
        <v>6</v>
      </c>
    </row>
    <row r="157" customFormat="false" ht="15" hidden="false" customHeight="false" outlineLevel="0" collapsed="false">
      <c r="A157" s="0" t="n">
        <v>16</v>
      </c>
      <c r="B157" s="0" t="s">
        <v>107</v>
      </c>
      <c r="C157" s="0" t="s">
        <v>108</v>
      </c>
      <c r="D157" s="0" t="s">
        <v>364</v>
      </c>
      <c r="E157" s="4" t="n">
        <v>2.03402777777778</v>
      </c>
      <c r="F157" s="0" t="n">
        <v>180</v>
      </c>
      <c r="G157" s="0" t="n">
        <v>180</v>
      </c>
      <c r="H157" s="0" t="n">
        <v>8.5</v>
      </c>
      <c r="I157" s="0" t="s">
        <v>138</v>
      </c>
      <c r="J157" s="0" t="s">
        <v>134</v>
      </c>
      <c r="K157" s="5" t="n">
        <v>45891</v>
      </c>
      <c r="L157" s="0" t="n">
        <v>45</v>
      </c>
      <c r="M157" s="0" t="str">
        <f aca="false">CONCATENATE(B157," ",C157)</f>
        <v>Dean Allcroft</v>
      </c>
      <c r="N157" s="0" t="s">
        <v>6</v>
      </c>
    </row>
    <row r="158" customFormat="false" ht="15" hidden="false" customHeight="false" outlineLevel="0" collapsed="false">
      <c r="A158" s="0" t="n">
        <v>17</v>
      </c>
      <c r="B158" s="0" t="s">
        <v>89</v>
      </c>
      <c r="C158" s="0" t="s">
        <v>90</v>
      </c>
      <c r="D158" s="0" t="s">
        <v>365</v>
      </c>
      <c r="E158" s="4" t="n">
        <v>2.04583333333333</v>
      </c>
      <c r="F158" s="0" t="n">
        <v>180</v>
      </c>
      <c r="G158" s="0" t="n">
        <v>180</v>
      </c>
      <c r="H158" s="0" t="n">
        <v>8.46</v>
      </c>
      <c r="I158" s="0" t="s">
        <v>140</v>
      </c>
      <c r="J158" s="0" t="s">
        <v>141</v>
      </c>
      <c r="K158" s="5" t="n">
        <v>45885</v>
      </c>
      <c r="L158" s="0" t="n">
        <v>31</v>
      </c>
      <c r="M158" s="0" t="str">
        <f aca="false">CONCATENATE(B158," ",C158)</f>
        <v>Shaun Swallow</v>
      </c>
      <c r="N158" s="0" t="s">
        <v>6</v>
      </c>
    </row>
    <row r="159" customFormat="false" ht="15" hidden="false" customHeight="false" outlineLevel="0" collapsed="false">
      <c r="A159" s="0" t="n">
        <v>18</v>
      </c>
      <c r="B159" s="0" t="s">
        <v>135</v>
      </c>
      <c r="C159" s="0" t="s">
        <v>136</v>
      </c>
      <c r="D159" s="0" t="s">
        <v>366</v>
      </c>
      <c r="E159" s="4" t="n">
        <v>2.04861111111111</v>
      </c>
      <c r="F159" s="0" t="n">
        <v>180</v>
      </c>
      <c r="G159" s="0" t="n">
        <v>180</v>
      </c>
      <c r="H159" s="0" t="n">
        <v>7.38</v>
      </c>
      <c r="I159" s="0" t="s">
        <v>142</v>
      </c>
      <c r="J159" s="0" t="s">
        <v>139</v>
      </c>
      <c r="K159" s="5" t="n">
        <v>45901</v>
      </c>
      <c r="L159" s="0" t="n">
        <v>18</v>
      </c>
      <c r="M159" s="0" t="str">
        <f aca="false">CONCATENATE(B159," ",C159)</f>
        <v>Alan Knox</v>
      </c>
      <c r="N159" s="0" t="s">
        <v>6</v>
      </c>
    </row>
    <row r="160" customFormat="false" ht="15" hidden="false" customHeight="false" outlineLevel="0" collapsed="false">
      <c r="A160" s="0" t="n">
        <v>19</v>
      </c>
      <c r="B160" s="0" t="s">
        <v>146</v>
      </c>
      <c r="C160" s="0" t="s">
        <v>147</v>
      </c>
      <c r="D160" s="0" t="s">
        <v>363</v>
      </c>
      <c r="E160" s="4" t="n">
        <v>2.07152777777778</v>
      </c>
      <c r="F160" s="0" t="n">
        <v>180</v>
      </c>
      <c r="G160" s="0" t="n">
        <v>180</v>
      </c>
      <c r="H160" s="0" t="n">
        <v>8.86</v>
      </c>
      <c r="I160" s="0" t="s">
        <v>144</v>
      </c>
      <c r="J160" s="0" t="s">
        <v>118</v>
      </c>
      <c r="K160" s="5" t="n">
        <v>45895</v>
      </c>
      <c r="L160" s="0" t="n">
        <v>41</v>
      </c>
      <c r="M160" s="0" t="str">
        <f aca="false">CONCATENATE(B160," ",C160)</f>
        <v>Matthew Coldwell</v>
      </c>
      <c r="N160" s="0" t="s">
        <v>6</v>
      </c>
    </row>
    <row r="161" customFormat="false" ht="15" hidden="false" customHeight="false" outlineLevel="0" collapsed="false">
      <c r="A161" s="0" t="n">
        <v>20</v>
      </c>
      <c r="B161" s="0" t="s">
        <v>119</v>
      </c>
      <c r="C161" s="0" t="s">
        <v>120</v>
      </c>
      <c r="D161" s="0" t="s">
        <v>367</v>
      </c>
      <c r="E161" s="4" t="n">
        <v>2.03055555555556</v>
      </c>
      <c r="F161" s="0" t="n">
        <v>170</v>
      </c>
      <c r="G161" s="0" t="n">
        <v>170</v>
      </c>
      <c r="H161" s="0" t="n">
        <v>8.35</v>
      </c>
      <c r="I161" s="0" t="s">
        <v>149</v>
      </c>
      <c r="J161" s="0" t="s">
        <v>196</v>
      </c>
      <c r="K161" s="5" t="n">
        <v>45895</v>
      </c>
      <c r="L161" s="0" t="n">
        <v>25</v>
      </c>
      <c r="M161" s="0" t="str">
        <f aca="false">CONCATENATE(B161," ",C161)</f>
        <v>Steve Dickinson</v>
      </c>
      <c r="N161" s="0" t="s">
        <v>6</v>
      </c>
    </row>
    <row r="162" customFormat="false" ht="15" hidden="false" customHeight="false" outlineLevel="0" collapsed="false">
      <c r="A162" s="0" t="n">
        <v>21</v>
      </c>
      <c r="B162" s="0" t="s">
        <v>368</v>
      </c>
      <c r="C162" s="0" t="s">
        <v>369</v>
      </c>
      <c r="D162" s="0" t="s">
        <v>370</v>
      </c>
      <c r="E162" s="4" t="n">
        <v>1.85625</v>
      </c>
      <c r="F162" s="0" t="n">
        <v>160</v>
      </c>
      <c r="G162" s="0" t="n">
        <v>160</v>
      </c>
      <c r="H162" s="0" t="n">
        <v>7.09</v>
      </c>
      <c r="I162" s="0" t="s">
        <v>151</v>
      </c>
      <c r="J162" s="0" t="s">
        <v>185</v>
      </c>
      <c r="K162" s="5" t="n">
        <v>45903</v>
      </c>
      <c r="L162" s="0" t="n">
        <v>13</v>
      </c>
      <c r="M162" s="0" t="str">
        <f aca="false">CONCATENATE(B162," ",C162)</f>
        <v>Martyn Goodwin</v>
      </c>
      <c r="N162" s="0" t="s">
        <v>6</v>
      </c>
    </row>
    <row r="163" customFormat="false" ht="15" hidden="false" customHeight="false" outlineLevel="0" collapsed="false">
      <c r="A163" s="0" t="n">
        <v>22</v>
      </c>
      <c r="B163" s="0" t="s">
        <v>135</v>
      </c>
      <c r="C163" s="0" t="s">
        <v>136</v>
      </c>
      <c r="D163" s="0" t="s">
        <v>361</v>
      </c>
      <c r="E163" s="4" t="n">
        <v>2.14583333333333</v>
      </c>
      <c r="F163" s="0" t="n">
        <v>180</v>
      </c>
      <c r="G163" s="0" t="n">
        <v>160</v>
      </c>
      <c r="H163" s="0" t="n">
        <v>7.97</v>
      </c>
      <c r="I163" s="0" t="s">
        <v>154</v>
      </c>
      <c r="J163" s="0" t="s">
        <v>158</v>
      </c>
      <c r="K163" s="5" t="n">
        <v>45891</v>
      </c>
      <c r="L163" s="0" t="n">
        <v>33</v>
      </c>
      <c r="M163" s="0" t="str">
        <f aca="false">CONCATENATE(B163," ",C163)</f>
        <v>Alan Knox</v>
      </c>
      <c r="N163" s="0" t="s">
        <v>6</v>
      </c>
    </row>
    <row r="164" customFormat="false" ht="15" hidden="false" customHeight="false" outlineLevel="0" collapsed="false">
      <c r="A164" s="0" t="n">
        <v>23</v>
      </c>
      <c r="B164" s="0" t="s">
        <v>119</v>
      </c>
      <c r="C164" s="0" t="s">
        <v>120</v>
      </c>
      <c r="D164" s="0" t="s">
        <v>371</v>
      </c>
      <c r="E164" s="4" t="n">
        <v>2.00972222222222</v>
      </c>
      <c r="F164" s="0" t="n">
        <v>150</v>
      </c>
      <c r="G164" s="0" t="n">
        <v>150</v>
      </c>
      <c r="H164" s="0" t="n">
        <v>7.77</v>
      </c>
      <c r="I164" s="0" t="s">
        <v>157</v>
      </c>
      <c r="J164" s="0" t="s">
        <v>203</v>
      </c>
      <c r="K164" s="5" t="n">
        <v>45883</v>
      </c>
      <c r="L164" s="0" t="n">
        <v>27</v>
      </c>
      <c r="M164" s="0" t="str">
        <f aca="false">CONCATENATE(B164," ",C164)</f>
        <v>Steve Dickinson</v>
      </c>
      <c r="N164" s="0" t="s">
        <v>6</v>
      </c>
    </row>
    <row r="165" customFormat="false" ht="15" hidden="false" customHeight="false" outlineLevel="0" collapsed="false">
      <c r="A165" s="0" t="n">
        <v>24</v>
      </c>
      <c r="B165" s="0" t="s">
        <v>372</v>
      </c>
      <c r="C165" s="0" t="s">
        <v>373</v>
      </c>
      <c r="D165" s="0" t="s">
        <v>374</v>
      </c>
      <c r="E165" s="4" t="n">
        <v>2.00694444444444</v>
      </c>
      <c r="F165" s="0" t="n">
        <v>140</v>
      </c>
      <c r="G165" s="0" t="n">
        <v>140</v>
      </c>
      <c r="H165" s="0" t="n">
        <v>7.54</v>
      </c>
      <c r="I165" s="0" t="s">
        <v>188</v>
      </c>
      <c r="J165" s="0" t="s">
        <v>375</v>
      </c>
      <c r="K165" s="5" t="n">
        <v>45880</v>
      </c>
      <c r="L165" s="0" t="n">
        <v>10</v>
      </c>
      <c r="M165" s="0" t="str">
        <f aca="false">CONCATENATE(B165," ",C165)</f>
        <v>Sue Hall</v>
      </c>
      <c r="N165" s="0" t="s">
        <v>6</v>
      </c>
    </row>
    <row r="166" customFormat="false" ht="15" hidden="false" customHeight="false" outlineLevel="0" collapsed="false">
      <c r="A166" s="0" t="n">
        <v>25</v>
      </c>
      <c r="B166" s="0" t="s">
        <v>190</v>
      </c>
      <c r="C166" s="0" t="s">
        <v>191</v>
      </c>
      <c r="D166" s="0" t="s">
        <v>374</v>
      </c>
      <c r="E166" s="4" t="n">
        <v>2.01041666666667</v>
      </c>
      <c r="F166" s="0" t="n">
        <v>140</v>
      </c>
      <c r="G166" s="0" t="n">
        <v>140</v>
      </c>
      <c r="H166" s="0" t="n">
        <v>7.13</v>
      </c>
      <c r="I166" s="0" t="s">
        <v>160</v>
      </c>
      <c r="J166" s="0" t="s">
        <v>173</v>
      </c>
      <c r="K166" s="5" t="n">
        <v>45880</v>
      </c>
      <c r="L166" s="0" t="n">
        <v>29</v>
      </c>
      <c r="M166" s="0" t="str">
        <f aca="false">CONCATENATE(B166," ",C166)</f>
        <v>Stu Smith</v>
      </c>
      <c r="N166" s="0" t="s">
        <v>6</v>
      </c>
    </row>
    <row r="167" customFormat="false" ht="15" hidden="false" customHeight="false" outlineLevel="0" collapsed="false">
      <c r="A167" s="0" t="n">
        <v>26</v>
      </c>
      <c r="B167" s="0" t="s">
        <v>119</v>
      </c>
      <c r="C167" s="0" t="s">
        <v>120</v>
      </c>
      <c r="D167" s="0" t="s">
        <v>376</v>
      </c>
      <c r="E167" s="4" t="n">
        <v>2.00972222222222</v>
      </c>
      <c r="F167" s="0" t="n">
        <v>130</v>
      </c>
      <c r="G167" s="0" t="n">
        <v>130</v>
      </c>
      <c r="H167" s="0" t="n">
        <v>7.77</v>
      </c>
      <c r="I167" s="0" t="s">
        <v>164</v>
      </c>
      <c r="J167" s="0" t="s">
        <v>229</v>
      </c>
      <c r="K167" s="5" t="n">
        <v>45883</v>
      </c>
      <c r="L167" s="0" t="n">
        <v>26</v>
      </c>
      <c r="M167" s="0" t="str">
        <f aca="false">CONCATENATE(B167," ",C167)</f>
        <v>Steve Dickinson</v>
      </c>
      <c r="N167" s="0" t="s">
        <v>6</v>
      </c>
    </row>
    <row r="168" customFormat="false" ht="15" hidden="false" customHeight="false" outlineLevel="0" collapsed="false">
      <c r="A168" s="0" t="n">
        <v>27</v>
      </c>
      <c r="B168" s="0" t="s">
        <v>190</v>
      </c>
      <c r="C168" s="0" t="s">
        <v>191</v>
      </c>
      <c r="D168" s="0" t="s">
        <v>377</v>
      </c>
      <c r="E168" s="4" t="n">
        <v>1.85694444444444</v>
      </c>
      <c r="F168" s="0" t="n">
        <v>120</v>
      </c>
      <c r="G168" s="0" t="n">
        <v>120</v>
      </c>
      <c r="H168" s="0" t="n">
        <v>6.6</v>
      </c>
      <c r="I168" s="0" t="s">
        <v>167</v>
      </c>
      <c r="J168" s="0" t="s">
        <v>176</v>
      </c>
      <c r="K168" s="5" t="n">
        <v>45882</v>
      </c>
      <c r="L168" s="0" t="n">
        <v>11</v>
      </c>
      <c r="M168" s="0" t="str">
        <f aca="false">CONCATENATE(B168," ",C168)</f>
        <v>Stu Smith</v>
      </c>
      <c r="N168" s="0" t="s">
        <v>6</v>
      </c>
    </row>
    <row r="169" customFormat="false" ht="15" hidden="false" customHeight="false" outlineLevel="0" collapsed="false">
      <c r="A169" s="0" t="n">
        <v>28</v>
      </c>
      <c r="B169" s="0" t="s">
        <v>190</v>
      </c>
      <c r="C169" s="0" t="s">
        <v>191</v>
      </c>
      <c r="D169" s="0" t="s">
        <v>377</v>
      </c>
      <c r="E169" s="4" t="n">
        <v>1.87916666666667</v>
      </c>
      <c r="F169" s="0" t="n">
        <v>120</v>
      </c>
      <c r="G169" s="0" t="n">
        <v>120</v>
      </c>
      <c r="H169" s="0" t="n">
        <v>6.34</v>
      </c>
      <c r="I169" s="0" t="s">
        <v>172</v>
      </c>
      <c r="J169" s="0" t="s">
        <v>193</v>
      </c>
      <c r="K169" s="5" t="n">
        <v>45902</v>
      </c>
      <c r="L169" s="0" t="n">
        <v>2</v>
      </c>
      <c r="M169" s="0" t="str">
        <f aca="false">CONCATENATE(B169," ",C169)</f>
        <v>Stu Smith</v>
      </c>
      <c r="N169" s="0" t="s">
        <v>6</v>
      </c>
    </row>
    <row r="170" customFormat="false" ht="15" hidden="false" customHeight="false" outlineLevel="0" collapsed="false">
      <c r="A170" s="0" t="n">
        <v>29</v>
      </c>
      <c r="B170" s="0" t="s">
        <v>378</v>
      </c>
      <c r="C170" s="0" t="s">
        <v>379</v>
      </c>
      <c r="D170" s="0" t="s">
        <v>377</v>
      </c>
      <c r="E170" s="4" t="n">
        <v>1.88333333333333</v>
      </c>
      <c r="F170" s="0" t="n">
        <v>120</v>
      </c>
      <c r="G170" s="0" t="n">
        <v>120</v>
      </c>
      <c r="H170" s="0" t="n">
        <v>7.2</v>
      </c>
      <c r="I170" s="0" t="s">
        <v>211</v>
      </c>
      <c r="J170" s="0" t="s">
        <v>181</v>
      </c>
      <c r="K170" s="5" t="n">
        <v>45882</v>
      </c>
      <c r="L170" s="0" t="n">
        <v>24</v>
      </c>
      <c r="M170" s="0" t="str">
        <f aca="false">CONCATENATE(B170," ",C170)</f>
        <v>Andrea Henson</v>
      </c>
      <c r="N170" s="0" t="s">
        <v>6</v>
      </c>
    </row>
    <row r="171" customFormat="false" ht="15" hidden="false" customHeight="false" outlineLevel="0" collapsed="false">
      <c r="A171" s="0" t="n">
        <v>30</v>
      </c>
      <c r="B171" s="0" t="s">
        <v>194</v>
      </c>
      <c r="C171" s="0" t="s">
        <v>119</v>
      </c>
      <c r="D171" s="0" t="s">
        <v>377</v>
      </c>
      <c r="E171" s="4" t="n">
        <v>1.90486111111111</v>
      </c>
      <c r="F171" s="0" t="n">
        <v>120</v>
      </c>
      <c r="G171" s="0" t="n">
        <v>120</v>
      </c>
      <c r="H171" s="0" t="n">
        <v>6.42</v>
      </c>
      <c r="I171" s="0" t="s">
        <v>175</v>
      </c>
      <c r="J171" s="0" t="s">
        <v>380</v>
      </c>
      <c r="K171" s="5" t="n">
        <v>45902</v>
      </c>
      <c r="L171" s="0" t="n">
        <v>5</v>
      </c>
      <c r="M171" s="0" t="str">
        <f aca="false">CONCATENATE(B171," ",C171)</f>
        <v>Dommett Steve</v>
      </c>
      <c r="N171" s="0" t="s">
        <v>6</v>
      </c>
    </row>
    <row r="172" customFormat="false" ht="15" hidden="false" customHeight="false" outlineLevel="0" collapsed="false">
      <c r="A172" s="0" t="n">
        <v>31</v>
      </c>
      <c r="B172" s="0" t="s">
        <v>190</v>
      </c>
      <c r="C172" s="0" t="s">
        <v>191</v>
      </c>
      <c r="D172" s="0" t="s">
        <v>377</v>
      </c>
      <c r="E172" s="4" t="n">
        <v>1.99027777777778</v>
      </c>
      <c r="F172" s="0" t="n">
        <v>120</v>
      </c>
      <c r="G172" s="0" t="n">
        <v>120</v>
      </c>
      <c r="H172" s="0" t="n">
        <v>6.6</v>
      </c>
      <c r="I172" s="0" t="s">
        <v>184</v>
      </c>
      <c r="J172" s="0" t="s">
        <v>206</v>
      </c>
      <c r="K172" s="5" t="n">
        <v>45876</v>
      </c>
      <c r="L172" s="0" t="n">
        <v>46</v>
      </c>
      <c r="M172" s="0" t="str">
        <f aca="false">CONCATENATE(B172," ",C172)</f>
        <v>Stu Smith</v>
      </c>
      <c r="N172" s="0" t="s">
        <v>6</v>
      </c>
    </row>
    <row r="173" customFormat="false" ht="15" hidden="false" customHeight="false" outlineLevel="0" collapsed="false">
      <c r="A173" s="0" t="n">
        <v>32</v>
      </c>
      <c r="B173" s="0" t="s">
        <v>372</v>
      </c>
      <c r="C173" s="0" t="s">
        <v>373</v>
      </c>
      <c r="D173" s="0" t="s">
        <v>377</v>
      </c>
      <c r="E173" s="4" t="n">
        <v>2.00902777777778</v>
      </c>
      <c r="F173" s="0" t="n">
        <v>120</v>
      </c>
      <c r="G173" s="0" t="n">
        <v>120</v>
      </c>
      <c r="H173" s="0" t="n">
        <v>7.13</v>
      </c>
      <c r="I173" s="0" t="s">
        <v>213</v>
      </c>
      <c r="J173" s="0" t="s">
        <v>381</v>
      </c>
      <c r="K173" s="5" t="n">
        <v>45876</v>
      </c>
      <c r="L173" s="0" t="n">
        <v>44</v>
      </c>
      <c r="M173" s="0" t="str">
        <f aca="false">CONCATENATE(B173," ",C173)</f>
        <v>Sue Hall</v>
      </c>
      <c r="N173" s="0" t="s">
        <v>6</v>
      </c>
    </row>
    <row r="174" customFormat="false" ht="15" hidden="false" customHeight="false" outlineLevel="0" collapsed="false">
      <c r="A174" s="0" t="n">
        <v>33</v>
      </c>
      <c r="B174" s="0" t="s">
        <v>169</v>
      </c>
      <c r="C174" s="0" t="s">
        <v>170</v>
      </c>
      <c r="D174" s="0" t="s">
        <v>382</v>
      </c>
      <c r="E174" s="4" t="n">
        <v>1.90486111111111</v>
      </c>
      <c r="F174" s="0" t="n">
        <v>110</v>
      </c>
      <c r="G174" s="0" t="n">
        <v>110</v>
      </c>
      <c r="H174" s="0" t="n">
        <v>6.55</v>
      </c>
      <c r="I174" s="0" t="s">
        <v>192</v>
      </c>
      <c r="J174" s="0" t="s">
        <v>209</v>
      </c>
      <c r="K174" s="5" t="n">
        <v>45904</v>
      </c>
      <c r="L174" s="0" t="n">
        <v>4</v>
      </c>
      <c r="M174" s="0" t="str">
        <f aca="false">CONCATENATE(B174," ",C174)</f>
        <v>Nick Whittingham</v>
      </c>
      <c r="N174" s="0" t="s">
        <v>6</v>
      </c>
    </row>
    <row r="175" customFormat="false" ht="15" hidden="false" customHeight="false" outlineLevel="0" collapsed="false">
      <c r="A175" s="0" t="n">
        <v>34</v>
      </c>
      <c r="B175" s="0" t="s">
        <v>383</v>
      </c>
      <c r="C175" s="0" t="s">
        <v>384</v>
      </c>
      <c r="D175" s="0" t="s">
        <v>385</v>
      </c>
      <c r="E175" s="4" t="n">
        <v>1.90972222222222</v>
      </c>
      <c r="F175" s="0" t="n">
        <v>90</v>
      </c>
      <c r="G175" s="0" t="n">
        <v>90</v>
      </c>
      <c r="H175" s="0" t="n">
        <v>6.66</v>
      </c>
      <c r="I175" s="0" t="s">
        <v>215</v>
      </c>
      <c r="J175" s="0" t="s">
        <v>386</v>
      </c>
      <c r="K175" s="5" t="n">
        <v>45882</v>
      </c>
      <c r="L175" s="0" t="n">
        <v>42</v>
      </c>
      <c r="M175" s="0" t="str">
        <f aca="false">CONCATENATE(B175," ",C175)</f>
        <v>Heather Lindley</v>
      </c>
      <c r="N175" s="0" t="s">
        <v>6</v>
      </c>
    </row>
    <row r="176" customFormat="false" ht="15" hidden="false" customHeight="false" outlineLevel="0" collapsed="false">
      <c r="A176" s="0" t="n">
        <v>35</v>
      </c>
      <c r="B176" s="0" t="s">
        <v>190</v>
      </c>
      <c r="C176" s="0" t="s">
        <v>191</v>
      </c>
      <c r="D176" s="0" t="s">
        <v>387</v>
      </c>
      <c r="E176" s="4" t="n">
        <v>1.87916666666667</v>
      </c>
      <c r="F176" s="0" t="n">
        <v>80</v>
      </c>
      <c r="G176" s="0" t="n">
        <v>80</v>
      </c>
      <c r="H176" s="0" t="n">
        <v>6.34</v>
      </c>
      <c r="I176" s="0" t="s">
        <v>195</v>
      </c>
      <c r="J176" s="0" t="s">
        <v>227</v>
      </c>
      <c r="K176" s="5" t="n">
        <v>45902</v>
      </c>
      <c r="L176" s="0" t="n">
        <v>15</v>
      </c>
      <c r="M176" s="0" t="str">
        <f aca="false">CONCATENATE(B176," ",C176)</f>
        <v>Stu Smith</v>
      </c>
      <c r="N176" s="0" t="s">
        <v>6</v>
      </c>
    </row>
    <row r="177" customFormat="false" ht="15" hidden="false" customHeight="false" outlineLevel="0" collapsed="false">
      <c r="A177" s="0" t="n">
        <v>36</v>
      </c>
      <c r="B177" s="0" t="s">
        <v>99</v>
      </c>
      <c r="C177" s="0" t="s">
        <v>100</v>
      </c>
      <c r="D177" s="0" t="s">
        <v>388</v>
      </c>
      <c r="E177" s="6" t="n">
        <v>0.0436689814814815</v>
      </c>
      <c r="F177" s="0" t="n">
        <v>200</v>
      </c>
      <c r="G177" s="0" t="n">
        <v>70</v>
      </c>
      <c r="H177" s="0" t="n">
        <v>9.29</v>
      </c>
      <c r="I177" s="0" t="s">
        <v>217</v>
      </c>
      <c r="J177" s="0" t="s">
        <v>189</v>
      </c>
      <c r="K177" s="5" t="n">
        <v>45897</v>
      </c>
      <c r="L177" s="0" t="n">
        <v>37</v>
      </c>
      <c r="M177" s="0" t="str">
        <f aca="false">CONCATENATE(B177," ",C177)</f>
        <v>Jemma Williams</v>
      </c>
      <c r="N177" s="0" t="s">
        <v>6</v>
      </c>
    </row>
    <row r="178" customFormat="false" ht="15" hidden="false" customHeight="false" outlineLevel="0" collapsed="false">
      <c r="A178" s="0" t="n">
        <v>37</v>
      </c>
      <c r="B178" s="0" t="s">
        <v>123</v>
      </c>
      <c r="C178" s="0" t="s">
        <v>124</v>
      </c>
      <c r="D178" s="0" t="s">
        <v>389</v>
      </c>
      <c r="E178" s="4" t="n">
        <v>2.40694444444444</v>
      </c>
      <c r="F178" s="0" t="n">
        <v>140</v>
      </c>
      <c r="G178" s="0" t="n">
        <v>60</v>
      </c>
      <c r="H178" s="0" t="n">
        <v>8.92</v>
      </c>
      <c r="I178" s="0" t="s">
        <v>235</v>
      </c>
      <c r="J178" s="0" t="s">
        <v>212</v>
      </c>
      <c r="K178" s="5" t="n">
        <v>45880</v>
      </c>
      <c r="L178" s="0" t="n">
        <v>3</v>
      </c>
      <c r="M178" s="0" t="str">
        <f aca="false">CONCATENATE(B178," ",C178)</f>
        <v>Jill Scrivens</v>
      </c>
      <c r="N178" s="0" t="s">
        <v>6</v>
      </c>
    </row>
    <row r="179" customFormat="false" ht="15" hidden="false" customHeight="false" outlineLevel="0" collapsed="false">
      <c r="A179" s="0" t="n">
        <v>38</v>
      </c>
      <c r="B179" s="0" t="s">
        <v>103</v>
      </c>
      <c r="C179" s="0" t="s">
        <v>104</v>
      </c>
      <c r="D179" s="0" t="s">
        <v>388</v>
      </c>
      <c r="E179" s="6" t="n">
        <v>0.0437847222222222</v>
      </c>
      <c r="F179" s="0" t="n">
        <v>200</v>
      </c>
      <c r="G179" s="0" t="n">
        <v>60</v>
      </c>
      <c r="H179" s="0" t="n">
        <v>9.37</v>
      </c>
      <c r="I179" s="0" t="s">
        <v>199</v>
      </c>
      <c r="J179" s="0" t="s">
        <v>222</v>
      </c>
      <c r="K179" s="5" t="n">
        <v>45897</v>
      </c>
      <c r="L179" s="0" t="n">
        <v>8</v>
      </c>
      <c r="M179" s="0" t="str">
        <f aca="false">CONCATENATE(B179," ",C179)</f>
        <v>Chris Baldwin</v>
      </c>
      <c r="N179" s="0" t="s">
        <v>6</v>
      </c>
    </row>
    <row r="180" customFormat="false" ht="15" hidden="false" customHeight="false" outlineLevel="0" collapsed="false">
      <c r="A180" s="0" t="n">
        <v>39</v>
      </c>
      <c r="B180" s="0" t="s">
        <v>197</v>
      </c>
      <c r="C180" s="0" t="s">
        <v>198</v>
      </c>
      <c r="D180" s="0" t="s">
        <v>390</v>
      </c>
      <c r="E180" s="4" t="n">
        <v>2.15069444444444</v>
      </c>
      <c r="F180" s="0" t="n">
        <v>70</v>
      </c>
      <c r="G180" s="0" t="n">
        <v>50</v>
      </c>
      <c r="H180" s="0" t="n">
        <v>5.56</v>
      </c>
      <c r="I180" s="0" t="s">
        <v>202</v>
      </c>
      <c r="J180" s="0" t="s">
        <v>200</v>
      </c>
      <c r="K180" s="5" t="n">
        <v>45883</v>
      </c>
      <c r="L180" s="0" t="n">
        <v>12</v>
      </c>
      <c r="M180" s="0" t="str">
        <f aca="false">CONCATENATE(B180," ",C180)</f>
        <v>Raymond Brown</v>
      </c>
      <c r="N180" s="0" t="s">
        <v>6</v>
      </c>
    </row>
    <row r="181" customFormat="false" ht="15" hidden="false" customHeight="false" outlineLevel="0" collapsed="false">
      <c r="A181" s="0" t="n">
        <v>40</v>
      </c>
      <c r="B181" s="0" t="s">
        <v>127</v>
      </c>
      <c r="C181" s="0" t="s">
        <v>128</v>
      </c>
      <c r="D181" s="0" t="s">
        <v>357</v>
      </c>
      <c r="E181" s="6" t="n">
        <v>0.0537268518518519</v>
      </c>
      <c r="F181" s="0" t="n">
        <v>210</v>
      </c>
      <c r="G181" s="0" t="n">
        <v>-70</v>
      </c>
      <c r="H181" s="0" t="n">
        <v>13.02</v>
      </c>
      <c r="I181" s="0" t="s">
        <v>237</v>
      </c>
      <c r="J181" s="0" t="s">
        <v>236</v>
      </c>
      <c r="K181" s="5" t="n">
        <v>45884</v>
      </c>
      <c r="L181" s="0" t="n">
        <v>40</v>
      </c>
      <c r="M181" s="0" t="str">
        <f aca="false">CONCATENATE(B181," ",C181)</f>
        <v>Gemma Nutton</v>
      </c>
      <c r="N181" s="0" t="s">
        <v>6</v>
      </c>
    </row>
    <row r="182" customFormat="false" ht="15" hidden="false" customHeight="false" outlineLevel="0" collapsed="false">
      <c r="A182" s="0" t="n">
        <v>41</v>
      </c>
      <c r="B182" s="0" t="s">
        <v>383</v>
      </c>
      <c r="C182" s="0" t="s">
        <v>384</v>
      </c>
      <c r="D182" s="0" t="s">
        <v>391</v>
      </c>
      <c r="E182" s="6" t="n">
        <v>0.0497106481481482</v>
      </c>
      <c r="F182" s="0" t="n">
        <v>60</v>
      </c>
      <c r="G182" s="0" t="n">
        <v>-160</v>
      </c>
      <c r="H182" s="0" t="n">
        <v>6.19</v>
      </c>
      <c r="I182" s="0" t="s">
        <v>242</v>
      </c>
      <c r="J182" s="0" t="s">
        <v>392</v>
      </c>
      <c r="K182" s="5" t="n">
        <v>45879</v>
      </c>
      <c r="L182" s="0" t="n">
        <v>34</v>
      </c>
      <c r="M182" s="0" t="str">
        <f aca="false">CONCATENATE(B182," ",C182)</f>
        <v>Heather Lindley</v>
      </c>
      <c r="N182" s="0" t="s">
        <v>6</v>
      </c>
    </row>
    <row r="183" customFormat="false" ht="15" hidden="false" customHeight="false" outlineLevel="0" collapsed="false">
      <c r="A183" s="0" t="n">
        <v>42</v>
      </c>
      <c r="B183" s="0" t="s">
        <v>383</v>
      </c>
      <c r="C183" s="0" t="s">
        <v>384</v>
      </c>
      <c r="D183" s="0" t="s">
        <v>374</v>
      </c>
      <c r="E183" s="6" t="n">
        <v>0.0559722222222222</v>
      </c>
      <c r="F183" s="0" t="n">
        <v>140</v>
      </c>
      <c r="G183" s="0" t="n">
        <v>-170</v>
      </c>
      <c r="H183" s="0" t="n">
        <v>8.45</v>
      </c>
      <c r="I183" s="0" t="s">
        <v>247</v>
      </c>
      <c r="J183" s="0" t="s">
        <v>393</v>
      </c>
      <c r="K183" s="5" t="n">
        <v>45877</v>
      </c>
      <c r="L183" s="0" t="n">
        <v>14</v>
      </c>
      <c r="M183" s="0" t="str">
        <f aca="false">CONCATENATE(B183," ",C183)</f>
        <v>Heather Lindley</v>
      </c>
      <c r="N183" s="0" t="s">
        <v>6</v>
      </c>
    </row>
    <row r="184" customFormat="false" ht="15" hidden="false" customHeight="false" outlineLevel="0" collapsed="false">
      <c r="A184" s="0" t="n">
        <v>43</v>
      </c>
      <c r="B184" s="0" t="s">
        <v>378</v>
      </c>
      <c r="C184" s="0" t="s">
        <v>379</v>
      </c>
      <c r="D184" s="0" t="s">
        <v>374</v>
      </c>
      <c r="E184" s="6" t="n">
        <v>0.0560185185185185</v>
      </c>
      <c r="F184" s="0" t="n">
        <v>140</v>
      </c>
      <c r="G184" s="0" t="n">
        <v>-170</v>
      </c>
      <c r="H184" s="0" t="n">
        <v>8.46</v>
      </c>
      <c r="I184" s="0" t="s">
        <v>309</v>
      </c>
      <c r="J184" s="0" t="s">
        <v>216</v>
      </c>
      <c r="K184" s="5" t="n">
        <v>45877</v>
      </c>
      <c r="L184" s="0" t="n">
        <v>9</v>
      </c>
      <c r="M184" s="0" t="str">
        <f aca="false">CONCATENATE(B184," ",C184)</f>
        <v>Andrea Henson</v>
      </c>
      <c r="N184" s="0" t="s">
        <v>6</v>
      </c>
    </row>
    <row r="185" customFormat="false" ht="15" hidden="false" customHeight="false" outlineLevel="0" collapsed="false">
      <c r="A185" s="0" t="n">
        <v>44</v>
      </c>
      <c r="B185" s="0" t="s">
        <v>123</v>
      </c>
      <c r="C185" s="0" t="s">
        <v>124</v>
      </c>
      <c r="D185" s="0" t="s">
        <v>394</v>
      </c>
      <c r="E185" s="6" t="n">
        <v>0.0918287037037037</v>
      </c>
      <c r="F185" s="0" t="n">
        <v>140</v>
      </c>
      <c r="G185" s="0" t="n">
        <v>-690</v>
      </c>
      <c r="H185" s="0" t="n">
        <v>12.64</v>
      </c>
      <c r="I185" s="0" t="s">
        <v>312</v>
      </c>
      <c r="J185" s="0" t="s">
        <v>238</v>
      </c>
      <c r="K185" s="5" t="n">
        <v>45876</v>
      </c>
      <c r="L185" s="0" t="n">
        <v>35</v>
      </c>
      <c r="M185" s="0" t="str">
        <f aca="false">CONCATENATE(B185," ",C185)</f>
        <v>Jill Scrivens</v>
      </c>
      <c r="N185" s="0" t="s">
        <v>6</v>
      </c>
    </row>
    <row r="186" customFormat="false" ht="15" hidden="false" customHeight="false" outlineLevel="0" collapsed="false">
      <c r="A186" s="0" t="n">
        <v>45</v>
      </c>
      <c r="B186" s="0" t="s">
        <v>127</v>
      </c>
      <c r="C186" s="0" t="s">
        <v>128</v>
      </c>
      <c r="D186" s="0" t="s">
        <v>394</v>
      </c>
      <c r="E186" s="6" t="n">
        <v>0.0918634259259259</v>
      </c>
      <c r="F186" s="0" t="n">
        <v>140</v>
      </c>
      <c r="G186" s="0" t="n">
        <v>-690</v>
      </c>
      <c r="H186" s="0" t="n">
        <v>14.32</v>
      </c>
      <c r="I186" s="0" t="s">
        <v>317</v>
      </c>
      <c r="J186" s="0" t="s">
        <v>332</v>
      </c>
      <c r="K186" s="5" t="n">
        <v>45876</v>
      </c>
      <c r="L186" s="0" t="n">
        <v>32</v>
      </c>
      <c r="M186" s="0" t="str">
        <f aca="false">CONCATENATE(B186," ",C186)</f>
        <v>Gemma Nutton</v>
      </c>
      <c r="N186" s="0" t="s">
        <v>6</v>
      </c>
    </row>
    <row r="187" customFormat="false" ht="15" hidden="false" customHeight="false" outlineLevel="0" collapsed="false">
      <c r="A187" s="0" t="n">
        <v>1</v>
      </c>
      <c r="B187" s="0" t="s">
        <v>85</v>
      </c>
      <c r="C187" s="0" t="s">
        <v>86</v>
      </c>
      <c r="D187" s="0" t="s">
        <v>395</v>
      </c>
      <c r="E187" s="4" t="n">
        <v>2.38402777777778</v>
      </c>
      <c r="F187" s="0" t="n">
        <v>230</v>
      </c>
      <c r="G187" s="0" t="n">
        <v>230</v>
      </c>
      <c r="H187" s="0" t="n">
        <v>11.19</v>
      </c>
      <c r="I187" s="0" t="s">
        <v>74</v>
      </c>
      <c r="J187" s="0" t="s">
        <v>88</v>
      </c>
      <c r="K187" s="5" t="n">
        <v>45856</v>
      </c>
      <c r="L187" s="0" t="n">
        <v>2</v>
      </c>
      <c r="M187" s="0" t="str">
        <f aca="false">CONCATENATE(B187," ",C187)</f>
        <v>Jon Hallam</v>
      </c>
      <c r="N187" s="0" t="s">
        <v>7</v>
      </c>
    </row>
    <row r="188" customFormat="false" ht="15" hidden="false" customHeight="false" outlineLevel="0" collapsed="false">
      <c r="A188" s="0" t="n">
        <v>2</v>
      </c>
      <c r="B188" s="0" t="s">
        <v>71</v>
      </c>
      <c r="C188" s="0" t="s">
        <v>72</v>
      </c>
      <c r="D188" s="0" t="s">
        <v>396</v>
      </c>
      <c r="E188" s="6" t="n">
        <v>0.0434837962962963</v>
      </c>
      <c r="F188" s="0" t="n">
        <v>250</v>
      </c>
      <c r="G188" s="0" t="n">
        <v>220</v>
      </c>
      <c r="H188" s="0" t="n">
        <v>12.41</v>
      </c>
      <c r="I188" s="0" t="s">
        <v>83</v>
      </c>
      <c r="J188" s="0" t="s">
        <v>75</v>
      </c>
      <c r="K188" s="5" t="n">
        <v>45858</v>
      </c>
      <c r="L188" s="0" t="n">
        <v>17</v>
      </c>
      <c r="M188" s="0" t="str">
        <f aca="false">CONCATENATE(B188," ",C188)</f>
        <v>Tom Fryers</v>
      </c>
      <c r="N188" s="0" t="s">
        <v>7</v>
      </c>
    </row>
    <row r="189" customFormat="false" ht="15" hidden="false" customHeight="false" outlineLevel="0" collapsed="false">
      <c r="A189" s="0" t="n">
        <v>3</v>
      </c>
      <c r="B189" s="0" t="s">
        <v>89</v>
      </c>
      <c r="C189" s="0" t="s">
        <v>90</v>
      </c>
      <c r="D189" s="0" t="s">
        <v>397</v>
      </c>
      <c r="E189" s="4" t="n">
        <v>2.36458333333333</v>
      </c>
      <c r="F189" s="0" t="n">
        <v>210</v>
      </c>
      <c r="G189" s="0" t="n">
        <v>210</v>
      </c>
      <c r="H189" s="0" t="n">
        <v>10.36</v>
      </c>
      <c r="I189" s="0" t="s">
        <v>87</v>
      </c>
      <c r="J189" s="0" t="s">
        <v>84</v>
      </c>
      <c r="K189" s="5" t="n">
        <v>45840</v>
      </c>
      <c r="L189" s="0" t="n">
        <v>27</v>
      </c>
      <c r="M189" s="0" t="str">
        <f aca="false">CONCATENATE(B189," ",C189)</f>
        <v>Shaun Swallow</v>
      </c>
      <c r="N189" s="0" t="s">
        <v>7</v>
      </c>
    </row>
    <row r="190" customFormat="false" ht="15" hidden="false" customHeight="false" outlineLevel="0" collapsed="false">
      <c r="A190" s="0" t="n">
        <v>4</v>
      </c>
      <c r="B190" s="0" t="s">
        <v>103</v>
      </c>
      <c r="C190" s="0" t="s">
        <v>104</v>
      </c>
      <c r="D190" s="0" t="s">
        <v>398</v>
      </c>
      <c r="E190" s="6" t="n">
        <v>0.0420023148148148</v>
      </c>
      <c r="F190" s="0" t="n">
        <v>210</v>
      </c>
      <c r="G190" s="0" t="n">
        <v>200</v>
      </c>
      <c r="H190" s="0" t="n">
        <v>10.49</v>
      </c>
      <c r="I190" s="0" t="s">
        <v>92</v>
      </c>
      <c r="J190" s="0" t="s">
        <v>106</v>
      </c>
      <c r="K190" s="5" t="n">
        <v>45834</v>
      </c>
      <c r="L190" s="0" t="n">
        <v>18</v>
      </c>
      <c r="M190" s="0" t="str">
        <f aca="false">CONCATENATE(B190," ",C190)</f>
        <v>Chris Baldwin</v>
      </c>
      <c r="N190" s="0" t="s">
        <v>7</v>
      </c>
    </row>
    <row r="191" customFormat="false" ht="15" hidden="false" customHeight="false" outlineLevel="0" collapsed="false">
      <c r="A191" s="0" t="n">
        <v>5</v>
      </c>
      <c r="B191" s="0" t="s">
        <v>76</v>
      </c>
      <c r="C191" s="0" t="s">
        <v>77</v>
      </c>
      <c r="D191" s="0" t="s">
        <v>399</v>
      </c>
      <c r="E191" s="7" t="n">
        <v>0</v>
      </c>
      <c r="F191" s="0" t="n">
        <v>180</v>
      </c>
      <c r="G191" s="0" t="n">
        <v>180</v>
      </c>
      <c r="H191" s="0" t="n">
        <v>8.42</v>
      </c>
      <c r="I191" s="0" t="s">
        <v>78</v>
      </c>
      <c r="J191" s="0" t="s">
        <v>79</v>
      </c>
      <c r="K191" s="5" t="n">
        <v>45855</v>
      </c>
      <c r="L191" s="0" t="n">
        <v>13</v>
      </c>
      <c r="M191" s="0" t="str">
        <f aca="false">CONCATENATE(B191," ",C191)</f>
        <v>Rogers Flynn</v>
      </c>
      <c r="N191" s="0" t="s">
        <v>7</v>
      </c>
    </row>
    <row r="192" customFormat="false" ht="15" hidden="false" customHeight="false" outlineLevel="0" collapsed="false">
      <c r="A192" s="0" t="n">
        <v>6</v>
      </c>
      <c r="B192" s="0" t="s">
        <v>119</v>
      </c>
      <c r="C192" s="0" t="s">
        <v>120</v>
      </c>
      <c r="D192" s="0" t="s">
        <v>399</v>
      </c>
      <c r="E192" s="4" t="n">
        <v>2.23333333333333</v>
      </c>
      <c r="F192" s="0" t="n">
        <v>180</v>
      </c>
      <c r="G192" s="0" t="n">
        <v>180</v>
      </c>
      <c r="H192" s="0" t="n">
        <v>8.02</v>
      </c>
      <c r="I192" s="0" t="s">
        <v>95</v>
      </c>
      <c r="J192" s="0" t="s">
        <v>122</v>
      </c>
      <c r="K192" s="5" t="n">
        <v>45869</v>
      </c>
      <c r="L192" s="0" t="n">
        <v>32</v>
      </c>
      <c r="M192" s="0" t="str">
        <f aca="false">CONCATENATE(B192," ",C192)</f>
        <v>Steve Dickinson</v>
      </c>
      <c r="N192" s="0" t="s">
        <v>7</v>
      </c>
    </row>
    <row r="193" customFormat="false" ht="15" hidden="false" customHeight="false" outlineLevel="0" collapsed="false">
      <c r="A193" s="0" t="n">
        <v>7</v>
      </c>
      <c r="B193" s="0" t="s">
        <v>400</v>
      </c>
      <c r="C193" s="0" t="s">
        <v>401</v>
      </c>
      <c r="D193" s="0" t="s">
        <v>402</v>
      </c>
      <c r="E193" s="4" t="n">
        <v>2.27222222222222</v>
      </c>
      <c r="F193" s="0" t="n">
        <v>180</v>
      </c>
      <c r="G193" s="0" t="n">
        <v>180</v>
      </c>
      <c r="H193" s="0" t="n">
        <v>8.97</v>
      </c>
      <c r="I193" s="0" t="s">
        <v>101</v>
      </c>
      <c r="J193" s="0" t="s">
        <v>248</v>
      </c>
      <c r="K193" s="5" t="n">
        <v>45864</v>
      </c>
      <c r="L193" s="0" t="n">
        <v>8</v>
      </c>
      <c r="M193" s="0" t="str">
        <f aca="false">CONCATENATE(B193," ",C193)</f>
        <v>Lesley Parker</v>
      </c>
      <c r="N193" s="0" t="s">
        <v>7</v>
      </c>
    </row>
    <row r="194" customFormat="false" ht="15" hidden="false" customHeight="false" outlineLevel="0" collapsed="false">
      <c r="A194" s="0" t="n">
        <v>8</v>
      </c>
      <c r="B194" s="0" t="s">
        <v>123</v>
      </c>
      <c r="C194" s="0" t="s">
        <v>124</v>
      </c>
      <c r="D194" s="0" t="s">
        <v>403</v>
      </c>
      <c r="E194" s="4" t="n">
        <v>2.28263888888889</v>
      </c>
      <c r="F194" s="0" t="n">
        <v>180</v>
      </c>
      <c r="G194" s="0" t="n">
        <v>180</v>
      </c>
      <c r="H194" s="0" t="n">
        <v>8.3</v>
      </c>
      <c r="I194" s="0" t="s">
        <v>125</v>
      </c>
      <c r="J194" s="0" t="s">
        <v>126</v>
      </c>
      <c r="K194" s="5" t="n">
        <v>45839</v>
      </c>
      <c r="L194" s="0" t="n">
        <v>33</v>
      </c>
      <c r="M194" s="0" t="str">
        <f aca="false">CONCATENATE(B194," ",C194)</f>
        <v>Jill Scrivens</v>
      </c>
      <c r="N194" s="0" t="s">
        <v>7</v>
      </c>
    </row>
    <row r="195" customFormat="false" ht="15" hidden="false" customHeight="false" outlineLevel="0" collapsed="false">
      <c r="A195" s="0" t="n">
        <v>9</v>
      </c>
      <c r="B195" s="0" t="s">
        <v>127</v>
      </c>
      <c r="C195" s="0" t="s">
        <v>128</v>
      </c>
      <c r="D195" s="0" t="s">
        <v>403</v>
      </c>
      <c r="E195" s="4" t="n">
        <v>2.29097222222222</v>
      </c>
      <c r="F195" s="0" t="n">
        <v>180</v>
      </c>
      <c r="G195" s="0" t="n">
        <v>180</v>
      </c>
      <c r="H195" s="0" t="n">
        <v>9.76</v>
      </c>
      <c r="I195" s="0" t="s">
        <v>129</v>
      </c>
      <c r="J195" s="0" t="s">
        <v>130</v>
      </c>
      <c r="K195" s="5" t="n">
        <v>45839</v>
      </c>
      <c r="L195" s="0" t="n">
        <v>5</v>
      </c>
      <c r="M195" s="0" t="str">
        <f aca="false">CONCATENATE(B195," ",C195)</f>
        <v>Gemma Nutton</v>
      </c>
      <c r="N195" s="0" t="s">
        <v>7</v>
      </c>
    </row>
    <row r="196" customFormat="false" ht="15" hidden="false" customHeight="false" outlineLevel="0" collapsed="false">
      <c r="A196" s="0" t="n">
        <v>10</v>
      </c>
      <c r="B196" s="0" t="s">
        <v>89</v>
      </c>
      <c r="C196" s="0" t="s">
        <v>90</v>
      </c>
      <c r="D196" s="0" t="s">
        <v>403</v>
      </c>
      <c r="E196" s="4" t="n">
        <v>2.29305555555556</v>
      </c>
      <c r="F196" s="0" t="n">
        <v>180</v>
      </c>
      <c r="G196" s="0" t="n">
        <v>180</v>
      </c>
      <c r="H196" s="0" t="n">
        <v>8.42</v>
      </c>
      <c r="I196" s="0" t="s">
        <v>97</v>
      </c>
      <c r="J196" s="0" t="s">
        <v>93</v>
      </c>
      <c r="K196" s="5" t="n">
        <v>45839</v>
      </c>
      <c r="L196" s="0" t="n">
        <v>11</v>
      </c>
      <c r="M196" s="0" t="str">
        <f aca="false">CONCATENATE(B196," ",C196)</f>
        <v>Shaun Swallow</v>
      </c>
      <c r="N196" s="0" t="s">
        <v>7</v>
      </c>
    </row>
    <row r="197" customFormat="false" ht="15" hidden="false" customHeight="false" outlineLevel="0" collapsed="false">
      <c r="A197" s="0" t="n">
        <v>11</v>
      </c>
      <c r="B197" s="0" t="s">
        <v>146</v>
      </c>
      <c r="C197" s="0" t="s">
        <v>147</v>
      </c>
      <c r="D197" s="0" t="s">
        <v>399</v>
      </c>
      <c r="E197" s="4" t="n">
        <v>2.30486111111111</v>
      </c>
      <c r="F197" s="0" t="n">
        <v>180</v>
      </c>
      <c r="G197" s="0" t="n">
        <v>180</v>
      </c>
      <c r="H197" s="0" t="n">
        <v>8.91</v>
      </c>
      <c r="I197" s="0" t="s">
        <v>105</v>
      </c>
      <c r="J197" s="0" t="s">
        <v>118</v>
      </c>
      <c r="K197" s="5" t="n">
        <v>45839</v>
      </c>
      <c r="L197" s="0" t="n">
        <v>31</v>
      </c>
      <c r="M197" s="0" t="str">
        <f aca="false">CONCATENATE(B197," ",C197)</f>
        <v>Matthew Coldwell</v>
      </c>
      <c r="N197" s="0" t="s">
        <v>7</v>
      </c>
    </row>
    <row r="198" customFormat="false" ht="15" hidden="false" customHeight="false" outlineLevel="0" collapsed="false">
      <c r="A198" s="0" t="n">
        <v>12</v>
      </c>
      <c r="B198" s="0" t="s">
        <v>135</v>
      </c>
      <c r="C198" s="0" t="s">
        <v>136</v>
      </c>
      <c r="D198" s="0" t="s">
        <v>399</v>
      </c>
      <c r="E198" s="4" t="n">
        <v>2.33472222222222</v>
      </c>
      <c r="F198" s="0" t="n">
        <v>180</v>
      </c>
      <c r="G198" s="0" t="n">
        <v>180</v>
      </c>
      <c r="H198" s="0" t="n">
        <v>8.39</v>
      </c>
      <c r="I198" s="0" t="s">
        <v>110</v>
      </c>
      <c r="J198" s="0" t="s">
        <v>139</v>
      </c>
      <c r="K198" s="5" t="n">
        <v>45856</v>
      </c>
      <c r="L198" s="0" t="n">
        <v>14</v>
      </c>
      <c r="M198" s="0" t="str">
        <f aca="false">CONCATENATE(B198," ",C198)</f>
        <v>Alan Knox</v>
      </c>
      <c r="N198" s="0" t="s">
        <v>7</v>
      </c>
    </row>
    <row r="199" customFormat="false" ht="15" hidden="false" customHeight="false" outlineLevel="0" collapsed="false">
      <c r="A199" s="0" t="n">
        <v>13</v>
      </c>
      <c r="B199" s="0" t="s">
        <v>119</v>
      </c>
      <c r="C199" s="0" t="s">
        <v>120</v>
      </c>
      <c r="D199" s="0" t="s">
        <v>404</v>
      </c>
      <c r="E199" s="4" t="n">
        <v>2.25625</v>
      </c>
      <c r="F199" s="0" t="n">
        <v>160</v>
      </c>
      <c r="G199" s="0" t="n">
        <v>160</v>
      </c>
      <c r="H199" s="0" t="n">
        <v>7.85</v>
      </c>
      <c r="I199" s="0" t="s">
        <v>121</v>
      </c>
      <c r="J199" s="0" t="s">
        <v>152</v>
      </c>
      <c r="K199" s="5" t="n">
        <v>45833</v>
      </c>
      <c r="L199" s="0" t="n">
        <v>6</v>
      </c>
      <c r="M199" s="0" t="str">
        <f aca="false">CONCATENATE(B199," ",C199)</f>
        <v>Steve Dickinson</v>
      </c>
      <c r="N199" s="0" t="s">
        <v>7</v>
      </c>
    </row>
    <row r="200" customFormat="false" ht="15" hidden="false" customHeight="false" outlineLevel="0" collapsed="false">
      <c r="A200" s="0" t="n">
        <v>14</v>
      </c>
      <c r="B200" s="0" t="s">
        <v>107</v>
      </c>
      <c r="C200" s="0" t="s">
        <v>108</v>
      </c>
      <c r="D200" s="0" t="s">
        <v>404</v>
      </c>
      <c r="E200" s="4" t="n">
        <v>2.25625</v>
      </c>
      <c r="F200" s="0" t="n">
        <v>160</v>
      </c>
      <c r="G200" s="0" t="n">
        <v>160</v>
      </c>
      <c r="H200" s="0" t="n">
        <v>7.36</v>
      </c>
      <c r="I200" s="0" t="s">
        <v>117</v>
      </c>
      <c r="J200" s="0" t="s">
        <v>111</v>
      </c>
      <c r="K200" s="5" t="n">
        <v>45833</v>
      </c>
      <c r="L200" s="0" t="n">
        <v>16</v>
      </c>
      <c r="M200" s="0" t="str">
        <f aca="false">CONCATENATE(B200," ",C200)</f>
        <v>Dean Allcroft</v>
      </c>
      <c r="N200" s="0" t="s">
        <v>7</v>
      </c>
    </row>
    <row r="201" customFormat="false" ht="15" hidden="false" customHeight="false" outlineLevel="0" collapsed="false">
      <c r="A201" s="0" t="n">
        <v>15</v>
      </c>
      <c r="B201" s="0" t="s">
        <v>135</v>
      </c>
      <c r="C201" s="0" t="s">
        <v>136</v>
      </c>
      <c r="D201" s="0" t="s">
        <v>404</v>
      </c>
      <c r="E201" s="4" t="n">
        <v>2.28888888888889</v>
      </c>
      <c r="F201" s="0" t="n">
        <v>160</v>
      </c>
      <c r="G201" s="0" t="n">
        <v>160</v>
      </c>
      <c r="H201" s="0" t="n">
        <v>7.65</v>
      </c>
      <c r="I201" s="0" t="s">
        <v>133</v>
      </c>
      <c r="J201" s="0" t="s">
        <v>158</v>
      </c>
      <c r="K201" s="5" t="n">
        <v>45854</v>
      </c>
      <c r="L201" s="0" t="n">
        <v>15</v>
      </c>
      <c r="M201" s="0" t="str">
        <f aca="false">CONCATENATE(B201," ",C201)</f>
        <v>Alan Knox</v>
      </c>
      <c r="N201" s="0" t="s">
        <v>7</v>
      </c>
    </row>
    <row r="202" customFormat="false" ht="15" hidden="false" customHeight="false" outlineLevel="0" collapsed="false">
      <c r="A202" s="0" t="n">
        <v>16</v>
      </c>
      <c r="B202" s="0" t="s">
        <v>169</v>
      </c>
      <c r="C202" s="0" t="s">
        <v>170</v>
      </c>
      <c r="D202" s="0" t="s">
        <v>404</v>
      </c>
      <c r="E202" s="4" t="n">
        <v>2.33472222222222</v>
      </c>
      <c r="F202" s="0" t="n">
        <v>160</v>
      </c>
      <c r="G202" s="0" t="n">
        <v>160</v>
      </c>
      <c r="H202" s="0" t="n">
        <v>7.05</v>
      </c>
      <c r="I202" s="0" t="s">
        <v>138</v>
      </c>
      <c r="J202" s="0" t="s">
        <v>173</v>
      </c>
      <c r="K202" s="5" t="n">
        <v>45831</v>
      </c>
      <c r="L202" s="0" t="n">
        <v>28</v>
      </c>
      <c r="M202" s="0" t="str">
        <f aca="false">CONCATENATE(B202," ",C202)</f>
        <v>Nick Whittingham</v>
      </c>
      <c r="N202" s="0" t="s">
        <v>7</v>
      </c>
    </row>
    <row r="203" customFormat="false" ht="15" hidden="false" customHeight="false" outlineLevel="0" collapsed="false">
      <c r="A203" s="0" t="n">
        <v>17</v>
      </c>
      <c r="B203" s="0" t="s">
        <v>400</v>
      </c>
      <c r="C203" s="0" t="s">
        <v>401</v>
      </c>
      <c r="D203" s="0" t="s">
        <v>405</v>
      </c>
      <c r="E203" s="4" t="n">
        <v>2.35625</v>
      </c>
      <c r="F203" s="0" t="n">
        <v>160</v>
      </c>
      <c r="G203" s="0" t="n">
        <v>160</v>
      </c>
      <c r="H203" s="0" t="n">
        <v>7.16</v>
      </c>
      <c r="I203" s="0" t="s">
        <v>180</v>
      </c>
      <c r="J203" s="0" t="s">
        <v>318</v>
      </c>
      <c r="K203" s="5" t="n">
        <v>45861</v>
      </c>
      <c r="L203" s="0" t="n">
        <v>29</v>
      </c>
      <c r="M203" s="0" t="str">
        <f aca="false">CONCATENATE(B203," ",C203)</f>
        <v>Lesley Parker</v>
      </c>
      <c r="N203" s="0" t="s">
        <v>7</v>
      </c>
    </row>
    <row r="204" customFormat="false" ht="15" hidden="false" customHeight="false" outlineLevel="0" collapsed="false">
      <c r="A204" s="0" t="n">
        <v>18</v>
      </c>
      <c r="B204" s="0" t="s">
        <v>177</v>
      </c>
      <c r="C204" s="0" t="s">
        <v>406</v>
      </c>
      <c r="D204" s="0" t="s">
        <v>405</v>
      </c>
      <c r="E204" s="4" t="n">
        <v>2.35902777777778</v>
      </c>
      <c r="F204" s="0" t="n">
        <v>160</v>
      </c>
      <c r="G204" s="0" t="n">
        <v>160</v>
      </c>
      <c r="H204" s="0" t="n">
        <v>7.02</v>
      </c>
      <c r="I204" s="0" t="s">
        <v>188</v>
      </c>
      <c r="J204" s="0" t="s">
        <v>407</v>
      </c>
      <c r="K204" s="5" t="n">
        <v>45861</v>
      </c>
      <c r="L204" s="0" t="n">
        <v>20</v>
      </c>
      <c r="M204" s="0" t="str">
        <f aca="false">CONCATENATE(B204," ",C204)</f>
        <v>Sarah Jones-Morris</v>
      </c>
      <c r="N204" s="0" t="s">
        <v>7</v>
      </c>
    </row>
    <row r="205" customFormat="false" ht="15" hidden="false" customHeight="false" outlineLevel="0" collapsed="false">
      <c r="A205" s="0" t="n">
        <v>19</v>
      </c>
      <c r="B205" s="0" t="s">
        <v>219</v>
      </c>
      <c r="C205" s="0" t="s">
        <v>346</v>
      </c>
      <c r="D205" s="0" t="s">
        <v>405</v>
      </c>
      <c r="E205" s="4" t="n">
        <v>2.39444444444444</v>
      </c>
      <c r="F205" s="0" t="n">
        <v>160</v>
      </c>
      <c r="G205" s="0" t="n">
        <v>160</v>
      </c>
      <c r="H205" s="0" t="n">
        <v>7.27</v>
      </c>
      <c r="I205" s="0" t="s">
        <v>140</v>
      </c>
      <c r="J205" s="0" t="s">
        <v>196</v>
      </c>
      <c r="K205" s="5" t="n">
        <v>45893</v>
      </c>
      <c r="L205" s="0" t="n">
        <v>36</v>
      </c>
      <c r="M205" s="0" t="str">
        <f aca="false">CONCATENATE(B205," ",C205)</f>
        <v>Mark Pearce</v>
      </c>
      <c r="N205" s="0" t="s">
        <v>7</v>
      </c>
    </row>
    <row r="206" customFormat="false" ht="15" hidden="false" customHeight="false" outlineLevel="0" collapsed="false">
      <c r="A206" s="0" t="n">
        <v>20</v>
      </c>
      <c r="B206" s="0" t="s">
        <v>119</v>
      </c>
      <c r="C206" s="0" t="s">
        <v>194</v>
      </c>
      <c r="D206" s="0" t="s">
        <v>408</v>
      </c>
      <c r="E206" s="4" t="n">
        <v>2.42291666666667</v>
      </c>
      <c r="F206" s="0" t="n">
        <v>140</v>
      </c>
      <c r="G206" s="0" t="n">
        <v>140</v>
      </c>
      <c r="H206" s="0" t="n">
        <v>7.88</v>
      </c>
      <c r="I206" s="0" t="s">
        <v>144</v>
      </c>
      <c r="J206" s="0" t="s">
        <v>203</v>
      </c>
      <c r="K206" s="5" t="n">
        <v>45832</v>
      </c>
      <c r="L206" s="0" t="n">
        <v>19</v>
      </c>
      <c r="M206" s="0" t="str">
        <f aca="false">CONCATENATE(B206," ",C206)</f>
        <v>Steve Dommett</v>
      </c>
      <c r="N206" s="0" t="s">
        <v>7</v>
      </c>
    </row>
    <row r="207" customFormat="false" ht="15" hidden="false" customHeight="false" outlineLevel="0" collapsed="false">
      <c r="A207" s="0" t="n">
        <v>21</v>
      </c>
      <c r="B207" s="0" t="s">
        <v>190</v>
      </c>
      <c r="C207" s="0" t="s">
        <v>191</v>
      </c>
      <c r="D207" s="0" t="s">
        <v>408</v>
      </c>
      <c r="E207" s="4" t="n">
        <v>2.42291666666667</v>
      </c>
      <c r="F207" s="0" t="n">
        <v>140</v>
      </c>
      <c r="G207" s="0" t="n">
        <v>140</v>
      </c>
      <c r="H207" s="0" t="n">
        <v>7.88</v>
      </c>
      <c r="I207" s="0" t="s">
        <v>142</v>
      </c>
      <c r="J207" s="0" t="s">
        <v>176</v>
      </c>
      <c r="K207" s="5" t="n">
        <v>45832</v>
      </c>
      <c r="L207" s="0" t="n">
        <v>34</v>
      </c>
      <c r="M207" s="0" t="str">
        <f aca="false">CONCATENATE(B207," ",C207)</f>
        <v>Stu Smith</v>
      </c>
      <c r="N207" s="0" t="s">
        <v>7</v>
      </c>
    </row>
    <row r="208" customFormat="false" ht="15" hidden="false" customHeight="false" outlineLevel="0" collapsed="false">
      <c r="A208" s="0" t="n">
        <v>22</v>
      </c>
      <c r="B208" s="0" t="s">
        <v>383</v>
      </c>
      <c r="C208" s="0" t="s">
        <v>384</v>
      </c>
      <c r="D208" s="0" t="s">
        <v>409</v>
      </c>
      <c r="E208" s="4" t="n">
        <v>2.17638888888889</v>
      </c>
      <c r="F208" s="0" t="n">
        <v>110</v>
      </c>
      <c r="G208" s="0" t="n">
        <v>110</v>
      </c>
      <c r="H208" s="0" t="n">
        <v>6.87</v>
      </c>
      <c r="I208" s="0" t="s">
        <v>213</v>
      </c>
      <c r="J208" s="0" t="s">
        <v>386</v>
      </c>
      <c r="K208" s="5" t="n">
        <v>45867</v>
      </c>
      <c r="L208" s="0" t="n">
        <v>3</v>
      </c>
      <c r="M208" s="0" t="str">
        <f aca="false">CONCATENATE(B208," ",C208)</f>
        <v>Heather Lindley</v>
      </c>
      <c r="N208" s="0" t="s">
        <v>7</v>
      </c>
    </row>
    <row r="209" customFormat="false" ht="15" hidden="false" customHeight="false" outlineLevel="0" collapsed="false">
      <c r="A209" s="0" t="n">
        <v>23</v>
      </c>
      <c r="B209" s="0" t="s">
        <v>378</v>
      </c>
      <c r="C209" s="0" t="s">
        <v>379</v>
      </c>
      <c r="D209" s="0" t="s">
        <v>409</v>
      </c>
      <c r="E209" s="4" t="n">
        <v>2.17638888888889</v>
      </c>
      <c r="F209" s="0" t="n">
        <v>110</v>
      </c>
      <c r="G209" s="0" t="n">
        <v>110</v>
      </c>
      <c r="H209" s="0" t="n">
        <v>6.87</v>
      </c>
      <c r="I209" s="0" t="s">
        <v>215</v>
      </c>
      <c r="J209" s="0" t="s">
        <v>212</v>
      </c>
      <c r="K209" s="5" t="n">
        <v>45867</v>
      </c>
      <c r="L209" s="0" t="n">
        <v>23</v>
      </c>
      <c r="M209" s="0" t="str">
        <f aca="false">CONCATENATE(B209," ",C209)</f>
        <v>Andrea Henson</v>
      </c>
      <c r="N209" s="0" t="s">
        <v>7</v>
      </c>
    </row>
    <row r="210" customFormat="false" ht="15" hidden="false" customHeight="false" outlineLevel="0" collapsed="false">
      <c r="A210" s="0" t="n">
        <v>24</v>
      </c>
      <c r="B210" s="0" t="s">
        <v>162</v>
      </c>
      <c r="C210" s="0" t="s">
        <v>72</v>
      </c>
      <c r="D210" s="0" t="s">
        <v>409</v>
      </c>
      <c r="E210" s="4" t="n">
        <v>2.17638888888889</v>
      </c>
      <c r="F210" s="0" t="n">
        <v>110</v>
      </c>
      <c r="G210" s="0" t="n">
        <v>110</v>
      </c>
      <c r="H210" s="0" t="n">
        <v>6.87</v>
      </c>
      <c r="I210" s="0" t="s">
        <v>211</v>
      </c>
      <c r="J210" s="0" t="s">
        <v>181</v>
      </c>
      <c r="K210" s="5" t="n">
        <v>45867</v>
      </c>
      <c r="L210" s="0" t="n">
        <v>24</v>
      </c>
      <c r="M210" s="0" t="str">
        <f aca="false">CONCATENATE(B210," ",C210)</f>
        <v>Helen Fryers</v>
      </c>
      <c r="N210" s="0" t="s">
        <v>7</v>
      </c>
    </row>
    <row r="211" customFormat="false" ht="15" hidden="false" customHeight="false" outlineLevel="0" collapsed="false">
      <c r="A211" s="0" t="n">
        <v>25</v>
      </c>
      <c r="B211" s="0" t="s">
        <v>190</v>
      </c>
      <c r="C211" s="0" t="s">
        <v>191</v>
      </c>
      <c r="D211" s="0" t="s">
        <v>404</v>
      </c>
      <c r="E211" s="6" t="n">
        <v>0.0448842592592593</v>
      </c>
      <c r="F211" s="0" t="n">
        <v>160</v>
      </c>
      <c r="G211" s="0" t="n">
        <v>110</v>
      </c>
      <c r="H211" s="0" t="n">
        <v>7.35</v>
      </c>
      <c r="I211" s="0" t="s">
        <v>149</v>
      </c>
      <c r="J211" s="0" t="s">
        <v>193</v>
      </c>
      <c r="K211" s="5" t="n">
        <v>45845</v>
      </c>
      <c r="L211" s="0" t="n">
        <v>25</v>
      </c>
      <c r="M211" s="0" t="str">
        <f aca="false">CONCATENATE(B211," ",C211)</f>
        <v>Stu Smith</v>
      </c>
      <c r="N211" s="0" t="s">
        <v>7</v>
      </c>
    </row>
    <row r="212" customFormat="false" ht="15" hidden="false" customHeight="false" outlineLevel="0" collapsed="false">
      <c r="A212" s="0" t="n">
        <v>26</v>
      </c>
      <c r="B212" s="0" t="s">
        <v>194</v>
      </c>
      <c r="C212" s="0" t="s">
        <v>119</v>
      </c>
      <c r="D212" s="0" t="s">
        <v>404</v>
      </c>
      <c r="E212" s="6" t="n">
        <v>0.0461689814814815</v>
      </c>
      <c r="F212" s="0" t="n">
        <v>160</v>
      </c>
      <c r="G212" s="0" t="n">
        <v>90</v>
      </c>
      <c r="H212" s="0" t="n">
        <v>7.08</v>
      </c>
      <c r="I212" s="0" t="s">
        <v>151</v>
      </c>
      <c r="J212" s="0" t="s">
        <v>229</v>
      </c>
      <c r="K212" s="5" t="n">
        <v>45845</v>
      </c>
      <c r="L212" s="0" t="n">
        <v>30</v>
      </c>
      <c r="M212" s="0" t="str">
        <f aca="false">CONCATENATE(B212," ",C212)</f>
        <v>Dommett Steve</v>
      </c>
      <c r="N212" s="0" t="s">
        <v>7</v>
      </c>
    </row>
    <row r="213" customFormat="false" ht="15" hidden="false" customHeight="false" outlineLevel="0" collapsed="false">
      <c r="A213" s="0" t="n">
        <v>27</v>
      </c>
      <c r="B213" s="0" t="s">
        <v>197</v>
      </c>
      <c r="C213" s="0" t="s">
        <v>198</v>
      </c>
      <c r="D213" s="0" t="s">
        <v>410</v>
      </c>
      <c r="E213" s="4" t="n">
        <v>2.21388888888889</v>
      </c>
      <c r="F213" s="0" t="n">
        <v>80</v>
      </c>
      <c r="G213" s="0" t="n">
        <v>80</v>
      </c>
      <c r="H213" s="0" t="n">
        <v>5.52</v>
      </c>
      <c r="I213" s="0" t="s">
        <v>154</v>
      </c>
      <c r="J213" s="0" t="s">
        <v>200</v>
      </c>
      <c r="K213" s="5" t="n">
        <v>45852</v>
      </c>
      <c r="L213" s="0" t="n">
        <v>9</v>
      </c>
      <c r="M213" s="0" t="str">
        <f aca="false">CONCATENATE(B213," ",C213)</f>
        <v>Raymond Brown</v>
      </c>
      <c r="N213" s="0" t="s">
        <v>7</v>
      </c>
    </row>
    <row r="214" customFormat="false" ht="15" hidden="false" customHeight="false" outlineLevel="0" collapsed="false">
      <c r="A214" s="0" t="n">
        <v>28</v>
      </c>
      <c r="B214" s="0" t="s">
        <v>197</v>
      </c>
      <c r="C214" s="0" t="s">
        <v>198</v>
      </c>
      <c r="D214" s="0" t="s">
        <v>411</v>
      </c>
      <c r="E214" s="4" t="n">
        <v>2.15972222222222</v>
      </c>
      <c r="F214" s="0" t="n">
        <v>70</v>
      </c>
      <c r="G214" s="0" t="n">
        <v>70</v>
      </c>
      <c r="H214" s="0" t="n">
        <v>4.53</v>
      </c>
      <c r="I214" s="0" t="s">
        <v>157</v>
      </c>
      <c r="J214" s="0" t="s">
        <v>231</v>
      </c>
      <c r="K214" s="5" t="n">
        <v>45854</v>
      </c>
      <c r="L214" s="0" t="n">
        <v>10</v>
      </c>
      <c r="M214" s="0" t="str">
        <f aca="false">CONCATENATE(B214," ",C214)</f>
        <v>Raymond Brown</v>
      </c>
      <c r="N214" s="0" t="s">
        <v>7</v>
      </c>
    </row>
    <row r="215" customFormat="false" ht="15" hidden="false" customHeight="false" outlineLevel="0" collapsed="false">
      <c r="A215" s="0" t="n">
        <v>29</v>
      </c>
      <c r="B215" s="0" t="s">
        <v>103</v>
      </c>
      <c r="C215" s="0" t="s">
        <v>104</v>
      </c>
      <c r="D215" s="0" t="s">
        <v>395</v>
      </c>
      <c r="E215" s="6" t="n">
        <v>0.0522800925925926</v>
      </c>
      <c r="F215" s="0" t="n">
        <v>230</v>
      </c>
      <c r="G215" s="0" t="n">
        <v>70</v>
      </c>
      <c r="H215" s="0" t="n">
        <v>11.39</v>
      </c>
      <c r="I215" s="0" t="s">
        <v>160</v>
      </c>
      <c r="J215" s="0" t="s">
        <v>145</v>
      </c>
      <c r="K215" s="5" t="n">
        <v>45813</v>
      </c>
      <c r="L215" s="0" t="n">
        <v>12</v>
      </c>
      <c r="M215" s="0" t="str">
        <f aca="false">CONCATENATE(B215," ",C215)</f>
        <v>Chris Baldwin</v>
      </c>
      <c r="N215" s="0" t="s">
        <v>7</v>
      </c>
    </row>
    <row r="216" customFormat="false" ht="15" hidden="false" customHeight="false" outlineLevel="0" collapsed="false">
      <c r="A216" s="0" t="n">
        <v>30</v>
      </c>
      <c r="B216" s="0" t="s">
        <v>383</v>
      </c>
      <c r="C216" s="0" t="s">
        <v>384</v>
      </c>
      <c r="D216" s="0" t="s">
        <v>412</v>
      </c>
      <c r="E216" s="4" t="n">
        <v>1.50833333333333</v>
      </c>
      <c r="F216" s="0" t="n">
        <v>40</v>
      </c>
      <c r="G216" s="0" t="n">
        <v>40</v>
      </c>
      <c r="H216" s="0" t="n">
        <v>3.8</v>
      </c>
      <c r="I216" s="0" t="s">
        <v>237</v>
      </c>
      <c r="J216" s="0" t="s">
        <v>392</v>
      </c>
      <c r="K216" s="5" t="n">
        <v>45867</v>
      </c>
      <c r="L216" s="0" t="n">
        <v>4</v>
      </c>
      <c r="M216" s="0" t="str">
        <f aca="false">CONCATENATE(B216," ",C216)</f>
        <v>Heather Lindley</v>
      </c>
      <c r="N216" s="0" t="s">
        <v>7</v>
      </c>
    </row>
    <row r="217" customFormat="false" ht="15" hidden="false" customHeight="false" outlineLevel="0" collapsed="false">
      <c r="A217" s="0" t="n">
        <v>31</v>
      </c>
      <c r="B217" s="0" t="s">
        <v>162</v>
      </c>
      <c r="C217" s="0" t="s">
        <v>72</v>
      </c>
      <c r="D217" s="0" t="s">
        <v>412</v>
      </c>
      <c r="E217" s="4" t="n">
        <v>1.50833333333333</v>
      </c>
      <c r="F217" s="0" t="n">
        <v>40</v>
      </c>
      <c r="G217" s="0" t="n">
        <v>40</v>
      </c>
      <c r="H217" s="0" t="n">
        <v>3.8</v>
      </c>
      <c r="I217" s="0" t="s">
        <v>217</v>
      </c>
      <c r="J217" s="0" t="s">
        <v>216</v>
      </c>
      <c r="K217" s="5" t="n">
        <v>45867</v>
      </c>
      <c r="L217" s="0" t="n">
        <v>22</v>
      </c>
      <c r="M217" s="0" t="str">
        <f aca="false">CONCATENATE(B217," ",C217)</f>
        <v>Helen Fryers</v>
      </c>
      <c r="N217" s="0" t="s">
        <v>7</v>
      </c>
    </row>
    <row r="218" customFormat="false" ht="15" hidden="false" customHeight="false" outlineLevel="0" collapsed="false">
      <c r="A218" s="0" t="n">
        <v>32</v>
      </c>
      <c r="B218" s="0" t="s">
        <v>378</v>
      </c>
      <c r="C218" s="0" t="s">
        <v>379</v>
      </c>
      <c r="D218" s="0" t="s">
        <v>412</v>
      </c>
      <c r="E218" s="4" t="n">
        <v>1.50833333333333</v>
      </c>
      <c r="F218" s="0" t="n">
        <v>40</v>
      </c>
      <c r="G218" s="0" t="n">
        <v>40</v>
      </c>
      <c r="H218" s="0" t="n">
        <v>3.8</v>
      </c>
      <c r="I218" s="0" t="s">
        <v>235</v>
      </c>
      <c r="J218" s="0" t="s">
        <v>238</v>
      </c>
      <c r="K218" s="5" t="n">
        <v>45867</v>
      </c>
      <c r="L218" s="0" t="n">
        <v>35</v>
      </c>
      <c r="M218" s="0" t="str">
        <f aca="false">CONCATENATE(B218," ",C218)</f>
        <v>Andrea Henson</v>
      </c>
      <c r="N218" s="0" t="s">
        <v>7</v>
      </c>
    </row>
    <row r="219" customFormat="false" ht="15" hidden="false" customHeight="false" outlineLevel="0" collapsed="false">
      <c r="A219" s="0" t="n">
        <v>33</v>
      </c>
      <c r="B219" s="0" t="s">
        <v>219</v>
      </c>
      <c r="C219" s="0" t="s">
        <v>220</v>
      </c>
      <c r="D219" s="0" t="s">
        <v>413</v>
      </c>
      <c r="E219" s="6" t="n">
        <v>0.054375</v>
      </c>
      <c r="F219" s="0" t="n">
        <v>140</v>
      </c>
      <c r="G219" s="0" t="n">
        <v>-50</v>
      </c>
      <c r="H219" s="0" t="n">
        <v>9.81</v>
      </c>
      <c r="I219" s="0" t="s">
        <v>164</v>
      </c>
      <c r="J219" s="0" t="s">
        <v>222</v>
      </c>
      <c r="K219" s="5" t="n">
        <v>45859</v>
      </c>
      <c r="L219" s="0" t="n">
        <v>7</v>
      </c>
      <c r="M219" s="0" t="str">
        <f aca="false">CONCATENATE(B219," ",C219)</f>
        <v>Mark Crossley</v>
      </c>
      <c r="N219" s="0" t="s">
        <v>7</v>
      </c>
    </row>
    <row r="220" customFormat="false" ht="15" hidden="false" customHeight="false" outlineLevel="0" collapsed="false">
      <c r="A220" s="0" t="n">
        <v>34</v>
      </c>
      <c r="B220" s="0" t="s">
        <v>99</v>
      </c>
      <c r="C220" s="0" t="s">
        <v>100</v>
      </c>
      <c r="D220" s="0" t="s">
        <v>404</v>
      </c>
      <c r="E220" s="6" t="n">
        <v>0.0743634259259259</v>
      </c>
      <c r="F220" s="0" t="n">
        <v>160</v>
      </c>
      <c r="G220" s="0" t="n">
        <v>-320</v>
      </c>
      <c r="H220" s="0" t="n">
        <v>7.54</v>
      </c>
      <c r="I220" s="0" t="s">
        <v>242</v>
      </c>
      <c r="J220" s="0" t="s">
        <v>102</v>
      </c>
      <c r="K220" s="5" t="n">
        <v>45832</v>
      </c>
      <c r="L220" s="0" t="n">
        <v>21</v>
      </c>
      <c r="M220" s="0" t="str">
        <f aca="false">CONCATENATE(B220," ",C220)</f>
        <v>Jemma Williams</v>
      </c>
      <c r="N220" s="0" t="s">
        <v>7</v>
      </c>
    </row>
    <row r="221" customFormat="false" ht="15" hidden="false" customHeight="false" outlineLevel="0" collapsed="false">
      <c r="A221" s="0" t="n">
        <v>35</v>
      </c>
      <c r="B221" s="0" t="s">
        <v>80</v>
      </c>
      <c r="C221" s="0" t="s">
        <v>81</v>
      </c>
      <c r="D221" s="0" t="s">
        <v>396</v>
      </c>
      <c r="E221" s="6" t="n">
        <v>0.112106481481481</v>
      </c>
      <c r="F221" s="0" t="n">
        <v>250</v>
      </c>
      <c r="G221" s="0" t="n">
        <v>-770</v>
      </c>
      <c r="H221" s="0" t="n">
        <v>12.29</v>
      </c>
      <c r="I221" s="0" t="s">
        <v>167</v>
      </c>
      <c r="J221" s="0" t="s">
        <v>134</v>
      </c>
      <c r="K221" s="5" t="n">
        <v>45816</v>
      </c>
      <c r="L221" s="0" t="n">
        <v>26</v>
      </c>
      <c r="M221" s="0" t="str">
        <f aca="false">CONCATENATE(B221," ",C221)</f>
        <v>Anthony Wright</v>
      </c>
      <c r="N221" s="0" t="s">
        <v>7</v>
      </c>
    </row>
    <row r="222" customFormat="false" ht="15" hidden="false" customHeight="false" outlineLevel="0" collapsed="false">
      <c r="A222" s="0" t="n">
        <v>1</v>
      </c>
      <c r="B222" s="0" t="s">
        <v>85</v>
      </c>
      <c r="C222" s="0" t="s">
        <v>86</v>
      </c>
      <c r="D222" s="0" t="s">
        <v>414</v>
      </c>
      <c r="E222" s="6" t="n">
        <v>0.0539583333333333</v>
      </c>
      <c r="F222" s="0" t="n">
        <v>250</v>
      </c>
      <c r="G222" s="0" t="n">
        <v>250</v>
      </c>
      <c r="H222" s="0" t="n">
        <v>14.71</v>
      </c>
      <c r="I222" s="0" t="s">
        <v>74</v>
      </c>
      <c r="J222" s="0" t="s">
        <v>88</v>
      </c>
      <c r="K222" s="5" t="n">
        <v>45859</v>
      </c>
      <c r="L222" s="0" t="n">
        <v>14</v>
      </c>
      <c r="M222" s="0" t="str">
        <f aca="false">CONCATENATE(B222," ",C222)</f>
        <v>Jon Hallam</v>
      </c>
      <c r="N222" s="0" t="s">
        <v>8</v>
      </c>
    </row>
    <row r="223" customFormat="false" ht="15" hidden="false" customHeight="false" outlineLevel="0" collapsed="false">
      <c r="A223" s="0" t="n">
        <v>2</v>
      </c>
      <c r="B223" s="0" t="s">
        <v>89</v>
      </c>
      <c r="C223" s="0" t="s">
        <v>90</v>
      </c>
      <c r="D223" s="0" t="s">
        <v>415</v>
      </c>
      <c r="E223" s="6" t="n">
        <v>0.0540509259259259</v>
      </c>
      <c r="F223" s="0" t="n">
        <v>220</v>
      </c>
      <c r="G223" s="0" t="n">
        <v>220</v>
      </c>
      <c r="H223" s="0" t="n">
        <v>13.94</v>
      </c>
      <c r="I223" s="0" t="s">
        <v>83</v>
      </c>
      <c r="J223" s="0" t="s">
        <v>84</v>
      </c>
      <c r="K223" s="5" t="n">
        <v>45856</v>
      </c>
      <c r="L223" s="0" t="n">
        <v>5</v>
      </c>
      <c r="M223" s="0" t="str">
        <f aca="false">CONCATENATE(B223," ",C223)</f>
        <v>Shaun Swallow</v>
      </c>
      <c r="N223" s="0" t="s">
        <v>8</v>
      </c>
    </row>
    <row r="224" customFormat="false" ht="15" hidden="false" customHeight="false" outlineLevel="0" collapsed="false">
      <c r="A224" s="0" t="n">
        <v>3</v>
      </c>
      <c r="B224" s="0" t="s">
        <v>127</v>
      </c>
      <c r="C224" s="0" t="s">
        <v>128</v>
      </c>
      <c r="D224" s="0" t="s">
        <v>416</v>
      </c>
      <c r="E224" s="6" t="n">
        <v>0.0485532407407407</v>
      </c>
      <c r="F224" s="0" t="n">
        <v>200</v>
      </c>
      <c r="G224" s="0" t="n">
        <v>200</v>
      </c>
      <c r="H224" s="0" t="n">
        <v>12.75</v>
      </c>
      <c r="I224" s="0" t="s">
        <v>101</v>
      </c>
      <c r="J224" s="0" t="s">
        <v>130</v>
      </c>
      <c r="K224" s="5" t="n">
        <v>45856</v>
      </c>
      <c r="L224" s="0" t="n">
        <v>11</v>
      </c>
      <c r="M224" s="0" t="str">
        <f aca="false">CONCATENATE(B224," ",C224)</f>
        <v>Gemma Nutton</v>
      </c>
      <c r="N224" s="0" t="s">
        <v>8</v>
      </c>
    </row>
    <row r="225" customFormat="false" ht="15" hidden="false" customHeight="false" outlineLevel="0" collapsed="false">
      <c r="A225" s="0" t="n">
        <v>4</v>
      </c>
      <c r="B225" s="0" t="s">
        <v>103</v>
      </c>
      <c r="C225" s="0" t="s">
        <v>104</v>
      </c>
      <c r="D225" s="0" t="s">
        <v>417</v>
      </c>
      <c r="E225" s="6" t="n">
        <v>0.0493865740740741</v>
      </c>
      <c r="F225" s="0" t="n">
        <v>200</v>
      </c>
      <c r="G225" s="0" t="n">
        <v>200</v>
      </c>
      <c r="H225" s="0" t="n">
        <v>12.39</v>
      </c>
      <c r="I225" s="0" t="s">
        <v>87</v>
      </c>
      <c r="J225" s="0" t="s">
        <v>106</v>
      </c>
      <c r="K225" s="5" t="n">
        <v>45862</v>
      </c>
      <c r="L225" s="0" t="n">
        <v>29</v>
      </c>
      <c r="M225" s="0" t="str">
        <f aca="false">CONCATENATE(B225," ",C225)</f>
        <v>Chris Baldwin</v>
      </c>
      <c r="N225" s="0" t="s">
        <v>8</v>
      </c>
    </row>
    <row r="226" customFormat="false" ht="15" hidden="false" customHeight="false" outlineLevel="0" collapsed="false">
      <c r="A226" s="0" t="n">
        <v>5</v>
      </c>
      <c r="B226" s="0" t="s">
        <v>99</v>
      </c>
      <c r="C226" s="0" t="s">
        <v>100</v>
      </c>
      <c r="D226" s="0" t="s">
        <v>418</v>
      </c>
      <c r="E226" s="6" t="n">
        <v>0.0497453703703704</v>
      </c>
      <c r="F226" s="0" t="n">
        <v>200</v>
      </c>
      <c r="G226" s="0" t="n">
        <v>200</v>
      </c>
      <c r="H226" s="0" t="n">
        <v>12.43</v>
      </c>
      <c r="I226" s="0" t="s">
        <v>125</v>
      </c>
      <c r="J226" s="0" t="s">
        <v>102</v>
      </c>
      <c r="K226" s="5" t="n">
        <v>45831</v>
      </c>
      <c r="L226" s="0" t="n">
        <v>13</v>
      </c>
      <c r="M226" s="0" t="str">
        <f aca="false">CONCATENATE(B226," ",C226)</f>
        <v>Jemma Williams</v>
      </c>
      <c r="N226" s="0" t="s">
        <v>8</v>
      </c>
    </row>
    <row r="227" customFormat="false" ht="15" hidden="false" customHeight="false" outlineLevel="0" collapsed="false">
      <c r="A227" s="0" t="n">
        <v>6</v>
      </c>
      <c r="B227" s="0" t="s">
        <v>119</v>
      </c>
      <c r="C227" s="0" t="s">
        <v>120</v>
      </c>
      <c r="D227" s="0" t="s">
        <v>419</v>
      </c>
      <c r="E227" s="6" t="n">
        <v>0.0530439814814815</v>
      </c>
      <c r="F227" s="0" t="n">
        <v>200</v>
      </c>
      <c r="G227" s="0" t="n">
        <v>200</v>
      </c>
      <c r="H227" s="0" t="n">
        <v>12.11</v>
      </c>
      <c r="I227" s="0" t="s">
        <v>92</v>
      </c>
      <c r="J227" s="0" t="s">
        <v>122</v>
      </c>
      <c r="K227" s="5" t="n">
        <v>45866</v>
      </c>
      <c r="L227" s="0" t="n">
        <v>9</v>
      </c>
      <c r="M227" s="0" t="str">
        <f aca="false">CONCATENATE(B227," ",C227)</f>
        <v>Steve Dickinson</v>
      </c>
      <c r="N227" s="0" t="s">
        <v>8</v>
      </c>
    </row>
    <row r="228" customFormat="false" ht="15" hidden="false" customHeight="false" outlineLevel="0" collapsed="false">
      <c r="A228" s="0" t="n">
        <v>7</v>
      </c>
      <c r="B228" s="0" t="s">
        <v>119</v>
      </c>
      <c r="C228" s="0" t="s">
        <v>120</v>
      </c>
      <c r="D228" s="0" t="s">
        <v>420</v>
      </c>
      <c r="E228" s="6" t="n">
        <v>0.0529976851851852</v>
      </c>
      <c r="F228" s="0" t="n">
        <v>180</v>
      </c>
      <c r="G228" s="0" t="n">
        <v>180</v>
      </c>
      <c r="H228" s="0" t="n">
        <v>12.07</v>
      </c>
      <c r="I228" s="0" t="s">
        <v>95</v>
      </c>
      <c r="J228" s="0" t="s">
        <v>152</v>
      </c>
      <c r="K228" s="5" t="n">
        <v>45860</v>
      </c>
      <c r="L228" s="0" t="n">
        <v>18</v>
      </c>
      <c r="M228" s="0" t="str">
        <f aca="false">CONCATENATE(B228," ",C228)</f>
        <v>Steve Dickinson</v>
      </c>
      <c r="N228" s="0" t="s">
        <v>8</v>
      </c>
    </row>
    <row r="229" customFormat="false" ht="15" hidden="false" customHeight="false" outlineLevel="0" collapsed="false">
      <c r="A229" s="0" t="n">
        <v>8</v>
      </c>
      <c r="B229" s="0" t="s">
        <v>135</v>
      </c>
      <c r="C229" s="0" t="s">
        <v>136</v>
      </c>
      <c r="D229" s="0" t="s">
        <v>420</v>
      </c>
      <c r="E229" s="6" t="n">
        <v>0.0530324074074074</v>
      </c>
      <c r="F229" s="0" t="n">
        <v>180</v>
      </c>
      <c r="G229" s="0" t="n">
        <v>180</v>
      </c>
      <c r="H229" s="0" t="n">
        <v>11.95</v>
      </c>
      <c r="I229" s="0" t="s">
        <v>97</v>
      </c>
      <c r="J229" s="0" t="s">
        <v>139</v>
      </c>
      <c r="K229" s="5" t="n">
        <v>45860</v>
      </c>
      <c r="L229" s="0" t="n">
        <v>19</v>
      </c>
      <c r="M229" s="0" t="str">
        <f aca="false">CONCATENATE(B229," ",C229)</f>
        <v>Alan Knox</v>
      </c>
      <c r="N229" s="0" t="s">
        <v>8</v>
      </c>
    </row>
    <row r="230" customFormat="false" ht="15" hidden="false" customHeight="false" outlineLevel="0" collapsed="false">
      <c r="A230" s="0" t="n">
        <v>9</v>
      </c>
      <c r="B230" s="0" t="s">
        <v>89</v>
      </c>
      <c r="C230" s="0" t="s">
        <v>90</v>
      </c>
      <c r="D230" s="0" t="s">
        <v>421</v>
      </c>
      <c r="E230" s="6" t="n">
        <v>0.0532291666666667</v>
      </c>
      <c r="F230" s="0" t="n">
        <v>180</v>
      </c>
      <c r="G230" s="0" t="n">
        <v>180</v>
      </c>
      <c r="H230" s="0" t="n">
        <v>10.41</v>
      </c>
      <c r="I230" s="0" t="s">
        <v>105</v>
      </c>
      <c r="J230" s="0" t="s">
        <v>93</v>
      </c>
      <c r="K230" s="5" t="n">
        <v>45848</v>
      </c>
      <c r="L230" s="0" t="n">
        <v>26</v>
      </c>
      <c r="M230" s="0" t="str">
        <f aca="false">CONCATENATE(B230," ",C230)</f>
        <v>Shaun Swallow</v>
      </c>
      <c r="N230" s="0" t="s">
        <v>8</v>
      </c>
    </row>
    <row r="231" customFormat="false" ht="15" hidden="false" customHeight="false" outlineLevel="0" collapsed="false">
      <c r="A231" s="0" t="n">
        <v>10</v>
      </c>
      <c r="B231" s="0" t="s">
        <v>123</v>
      </c>
      <c r="C231" s="0" t="s">
        <v>124</v>
      </c>
      <c r="D231" s="0" t="s">
        <v>421</v>
      </c>
      <c r="E231" s="6" t="n">
        <v>0.0541319444444445</v>
      </c>
      <c r="F231" s="0" t="n">
        <v>180</v>
      </c>
      <c r="G231" s="0" t="n">
        <v>180</v>
      </c>
      <c r="H231" s="0" t="n">
        <v>10.47</v>
      </c>
      <c r="I231" s="0" t="s">
        <v>129</v>
      </c>
      <c r="J231" s="0" t="s">
        <v>126</v>
      </c>
      <c r="K231" s="5" t="n">
        <v>45848</v>
      </c>
      <c r="L231" s="0" t="n">
        <v>6</v>
      </c>
      <c r="M231" s="0" t="str">
        <f aca="false">CONCATENATE(B231," ",C231)</f>
        <v>Jill Scrivens</v>
      </c>
      <c r="N231" s="0" t="s">
        <v>8</v>
      </c>
    </row>
    <row r="232" customFormat="false" ht="15" hidden="false" customHeight="false" outlineLevel="0" collapsed="false">
      <c r="A232" s="0" t="n">
        <v>11</v>
      </c>
      <c r="B232" s="0" t="s">
        <v>131</v>
      </c>
      <c r="C232" s="0" t="s">
        <v>72</v>
      </c>
      <c r="D232" s="0" t="s">
        <v>422</v>
      </c>
      <c r="E232" s="6" t="n">
        <v>0.0566782407407407</v>
      </c>
      <c r="F232" s="0" t="n">
        <v>200</v>
      </c>
      <c r="G232" s="0" t="n">
        <v>180</v>
      </c>
      <c r="H232" s="0" t="n">
        <v>11.93</v>
      </c>
      <c r="I232" s="0" t="s">
        <v>110</v>
      </c>
      <c r="J232" s="0" t="s">
        <v>111</v>
      </c>
      <c r="K232" s="5" t="n">
        <v>45865</v>
      </c>
      <c r="L232" s="0" t="n">
        <v>35</v>
      </c>
      <c r="M232" s="0" t="str">
        <f aca="false">CONCATENATE(B232," ",C232)</f>
        <v>Paul Fryers</v>
      </c>
      <c r="N232" s="0" t="s">
        <v>8</v>
      </c>
    </row>
    <row r="233" customFormat="false" ht="15" hidden="false" customHeight="false" outlineLevel="0" collapsed="false">
      <c r="A233" s="0" t="n">
        <v>12</v>
      </c>
      <c r="B233" s="0" t="s">
        <v>123</v>
      </c>
      <c r="C233" s="0" t="s">
        <v>124</v>
      </c>
      <c r="D233" s="0" t="s">
        <v>423</v>
      </c>
      <c r="E233" s="6" t="n">
        <v>0.0526273148148148</v>
      </c>
      <c r="F233" s="0" t="n">
        <v>170</v>
      </c>
      <c r="G233" s="0" t="n">
        <v>170</v>
      </c>
      <c r="H233" s="0" t="n">
        <v>12.28</v>
      </c>
      <c r="I233" s="0" t="s">
        <v>180</v>
      </c>
      <c r="J233" s="0" t="s">
        <v>181</v>
      </c>
      <c r="K233" s="5" t="n">
        <v>45819</v>
      </c>
      <c r="L233" s="0" t="n">
        <v>27</v>
      </c>
      <c r="M233" s="0" t="str">
        <f aca="false">CONCATENATE(B233," ",C233)</f>
        <v>Jill Scrivens</v>
      </c>
      <c r="N233" s="0" t="s">
        <v>8</v>
      </c>
    </row>
    <row r="234" customFormat="false" ht="15" hidden="false" customHeight="false" outlineLevel="0" collapsed="false">
      <c r="A234" s="0" t="n">
        <v>13</v>
      </c>
      <c r="B234" s="0" t="s">
        <v>127</v>
      </c>
      <c r="C234" s="0" t="s">
        <v>128</v>
      </c>
      <c r="D234" s="0" t="s">
        <v>423</v>
      </c>
      <c r="E234" s="6" t="n">
        <v>0.052662037037037</v>
      </c>
      <c r="F234" s="0" t="n">
        <v>170</v>
      </c>
      <c r="G234" s="0" t="n">
        <v>170</v>
      </c>
      <c r="H234" s="0" t="n">
        <v>13.19</v>
      </c>
      <c r="I234" s="0" t="s">
        <v>188</v>
      </c>
      <c r="J234" s="0" t="s">
        <v>214</v>
      </c>
      <c r="K234" s="5" t="n">
        <v>45819</v>
      </c>
      <c r="L234" s="0" t="n">
        <v>37</v>
      </c>
      <c r="M234" s="0" t="str">
        <f aca="false">CONCATENATE(B234," ",C234)</f>
        <v>Gemma Nutton</v>
      </c>
      <c r="N234" s="0" t="s">
        <v>8</v>
      </c>
    </row>
    <row r="235" customFormat="false" ht="15" hidden="false" customHeight="false" outlineLevel="0" collapsed="false">
      <c r="A235" s="0" t="n">
        <v>14</v>
      </c>
      <c r="B235" s="0" t="s">
        <v>400</v>
      </c>
      <c r="C235" s="0" t="s">
        <v>401</v>
      </c>
      <c r="D235" s="0" t="s">
        <v>424</v>
      </c>
      <c r="E235" s="6" t="n">
        <v>0.0547453703703704</v>
      </c>
      <c r="F235" s="0" t="n">
        <v>170</v>
      </c>
      <c r="G235" s="0" t="n">
        <v>170</v>
      </c>
      <c r="H235" s="0" t="n">
        <v>11.56</v>
      </c>
      <c r="I235" s="0" t="s">
        <v>211</v>
      </c>
      <c r="J235" s="0" t="s">
        <v>248</v>
      </c>
      <c r="K235" s="5" t="n">
        <v>45856</v>
      </c>
      <c r="L235" s="0" t="n">
        <v>8</v>
      </c>
      <c r="M235" s="0" t="str">
        <f aca="false">CONCATENATE(B235," ",C235)</f>
        <v>Lesley Parker</v>
      </c>
      <c r="N235" s="0" t="s">
        <v>8</v>
      </c>
    </row>
    <row r="236" customFormat="false" ht="15" hidden="false" customHeight="false" outlineLevel="0" collapsed="false">
      <c r="A236" s="0" t="n">
        <v>15</v>
      </c>
      <c r="B236" s="0" t="s">
        <v>177</v>
      </c>
      <c r="C236" s="0" t="s">
        <v>406</v>
      </c>
      <c r="D236" s="0" t="s">
        <v>424</v>
      </c>
      <c r="E236" s="6" t="n">
        <v>0.0549189814814815</v>
      </c>
      <c r="F236" s="0" t="n">
        <v>170</v>
      </c>
      <c r="G236" s="0" t="n">
        <v>170</v>
      </c>
      <c r="H236" s="0" t="n">
        <v>11.61</v>
      </c>
      <c r="I236" s="0" t="s">
        <v>213</v>
      </c>
      <c r="J236" s="0" t="s">
        <v>318</v>
      </c>
      <c r="K236" s="5" t="n">
        <v>45856</v>
      </c>
      <c r="L236" s="0" t="n">
        <v>2</v>
      </c>
      <c r="M236" s="0" t="str">
        <f aca="false">CONCATENATE(B236," ",C236)</f>
        <v>Sarah Jones-Morris</v>
      </c>
      <c r="N236" s="0" t="s">
        <v>8</v>
      </c>
    </row>
    <row r="237" customFormat="false" ht="15" hidden="false" customHeight="false" outlineLevel="0" collapsed="false">
      <c r="A237" s="0" t="n">
        <v>16</v>
      </c>
      <c r="B237" s="0" t="s">
        <v>169</v>
      </c>
      <c r="C237" s="0" t="s">
        <v>170</v>
      </c>
      <c r="D237" s="0" t="s">
        <v>425</v>
      </c>
      <c r="E237" s="6" t="n">
        <v>0.0525462962962963</v>
      </c>
      <c r="F237" s="0" t="n">
        <v>160</v>
      </c>
      <c r="G237" s="0" t="n">
        <v>160</v>
      </c>
      <c r="H237" s="0" t="n">
        <v>9.62</v>
      </c>
      <c r="I237" s="0" t="s">
        <v>117</v>
      </c>
      <c r="J237" s="0" t="s">
        <v>158</v>
      </c>
      <c r="K237" s="5" t="n">
        <v>45837</v>
      </c>
      <c r="L237" s="0" t="n">
        <v>4</v>
      </c>
      <c r="M237" s="0" t="str">
        <f aca="false">CONCATENATE(B237," ",C237)</f>
        <v>Nick Whittingham</v>
      </c>
      <c r="N237" s="0" t="s">
        <v>8</v>
      </c>
    </row>
    <row r="238" customFormat="false" ht="15" hidden="false" customHeight="false" outlineLevel="0" collapsed="false">
      <c r="A238" s="0" t="n">
        <v>17</v>
      </c>
      <c r="B238" s="0" t="s">
        <v>107</v>
      </c>
      <c r="C238" s="0" t="s">
        <v>108</v>
      </c>
      <c r="D238" s="0" t="s">
        <v>426</v>
      </c>
      <c r="E238" s="4" t="n">
        <v>2.43402777777778</v>
      </c>
      <c r="F238" s="0" t="n">
        <v>150</v>
      </c>
      <c r="G238" s="0" t="n">
        <v>150</v>
      </c>
      <c r="H238" s="0" t="n">
        <v>9.52</v>
      </c>
      <c r="I238" s="0" t="s">
        <v>121</v>
      </c>
      <c r="J238" s="0" t="s">
        <v>134</v>
      </c>
      <c r="K238" s="5" t="n">
        <v>45843</v>
      </c>
      <c r="L238" s="0" t="n">
        <v>15</v>
      </c>
      <c r="M238" s="0" t="str">
        <f aca="false">CONCATENATE(B238," ",C238)</f>
        <v>Dean Allcroft</v>
      </c>
      <c r="N238" s="0" t="s">
        <v>8</v>
      </c>
    </row>
    <row r="239" customFormat="false" ht="15" hidden="false" customHeight="false" outlineLevel="0" collapsed="false">
      <c r="A239" s="0" t="n">
        <v>18</v>
      </c>
      <c r="B239" s="0" t="s">
        <v>135</v>
      </c>
      <c r="C239" s="0" t="s">
        <v>136</v>
      </c>
      <c r="D239" s="0" t="s">
        <v>426</v>
      </c>
      <c r="E239" s="6" t="n">
        <v>0.0428587962962963</v>
      </c>
      <c r="F239" s="0" t="n">
        <v>150</v>
      </c>
      <c r="G239" s="0" t="n">
        <v>150</v>
      </c>
      <c r="H239" s="0" t="n">
        <v>9.35</v>
      </c>
      <c r="I239" s="0" t="s">
        <v>133</v>
      </c>
      <c r="J239" s="0" t="s">
        <v>173</v>
      </c>
      <c r="K239" s="5" t="n">
        <v>45827</v>
      </c>
      <c r="L239" s="0" t="n">
        <v>23</v>
      </c>
      <c r="M239" s="0" t="str">
        <f aca="false">CONCATENATE(B239," ",C239)</f>
        <v>Alan Knox</v>
      </c>
      <c r="N239" s="0" t="s">
        <v>8</v>
      </c>
    </row>
    <row r="240" customFormat="false" ht="15" hidden="false" customHeight="false" outlineLevel="0" collapsed="false">
      <c r="A240" s="0" t="n">
        <v>19</v>
      </c>
      <c r="B240" s="0" t="s">
        <v>119</v>
      </c>
      <c r="C240" s="0" t="s">
        <v>120</v>
      </c>
      <c r="D240" s="0" t="s">
        <v>426</v>
      </c>
      <c r="E240" s="6" t="n">
        <v>0.0428819444444444</v>
      </c>
      <c r="F240" s="0" t="n">
        <v>150</v>
      </c>
      <c r="G240" s="0" t="n">
        <v>150</v>
      </c>
      <c r="H240" s="0" t="n">
        <v>9.56</v>
      </c>
      <c r="I240" s="0" t="s">
        <v>138</v>
      </c>
      <c r="J240" s="0" t="s">
        <v>196</v>
      </c>
      <c r="K240" s="5" t="n">
        <v>45827</v>
      </c>
      <c r="L240" s="0" t="n">
        <v>16</v>
      </c>
      <c r="M240" s="0" t="str">
        <f aca="false">CONCATENATE(B240," ",C240)</f>
        <v>Steve Dickinson</v>
      </c>
      <c r="N240" s="0" t="s">
        <v>8</v>
      </c>
    </row>
    <row r="241" customFormat="false" ht="15" hidden="false" customHeight="false" outlineLevel="0" collapsed="false">
      <c r="A241" s="0" t="n">
        <v>20</v>
      </c>
      <c r="B241" s="0" t="s">
        <v>123</v>
      </c>
      <c r="C241" s="0" t="s">
        <v>124</v>
      </c>
      <c r="D241" s="0" t="s">
        <v>427</v>
      </c>
      <c r="E241" s="6" t="n">
        <v>0.0534490740740741</v>
      </c>
      <c r="F241" s="0" t="n">
        <v>150</v>
      </c>
      <c r="G241" s="0" t="n">
        <v>150</v>
      </c>
      <c r="H241" s="0" t="n">
        <v>10.61</v>
      </c>
      <c r="I241" s="0" t="s">
        <v>215</v>
      </c>
      <c r="J241" s="0" t="s">
        <v>212</v>
      </c>
      <c r="K241" s="5" t="n">
        <v>45817</v>
      </c>
      <c r="L241" s="0" t="n">
        <v>34</v>
      </c>
      <c r="M241" s="0" t="str">
        <f aca="false">CONCATENATE(B241," ",C241)</f>
        <v>Jill Scrivens</v>
      </c>
      <c r="N241" s="0" t="s">
        <v>8</v>
      </c>
    </row>
    <row r="242" customFormat="false" ht="15" hidden="false" customHeight="false" outlineLevel="0" collapsed="false">
      <c r="A242" s="0" t="n">
        <v>21</v>
      </c>
      <c r="B242" s="0" t="s">
        <v>190</v>
      </c>
      <c r="C242" s="0" t="s">
        <v>191</v>
      </c>
      <c r="D242" s="0" t="s">
        <v>428</v>
      </c>
      <c r="E242" s="6" t="n">
        <v>0.0448263888888889</v>
      </c>
      <c r="F242" s="0" t="n">
        <v>130</v>
      </c>
      <c r="G242" s="0" t="n">
        <v>130</v>
      </c>
      <c r="H242" s="0" t="n">
        <v>8.6</v>
      </c>
      <c r="I242" s="0" t="s">
        <v>140</v>
      </c>
      <c r="J242" s="0" t="s">
        <v>176</v>
      </c>
      <c r="K242" s="5" t="n">
        <v>45855</v>
      </c>
      <c r="L242" s="0" t="n">
        <v>17</v>
      </c>
      <c r="M242" s="0" t="str">
        <f aca="false">CONCATENATE(B242," ",C242)</f>
        <v>Stu Smith</v>
      </c>
      <c r="N242" s="0" t="s">
        <v>8</v>
      </c>
    </row>
    <row r="243" customFormat="false" ht="15" hidden="false" customHeight="false" outlineLevel="0" collapsed="false">
      <c r="A243" s="0" t="n">
        <v>22</v>
      </c>
      <c r="B243" s="0" t="s">
        <v>194</v>
      </c>
      <c r="C243" s="0" t="s">
        <v>119</v>
      </c>
      <c r="D243" s="0" t="s">
        <v>428</v>
      </c>
      <c r="E243" s="6" t="n">
        <v>0.044837962962963</v>
      </c>
      <c r="F243" s="0" t="n">
        <v>130</v>
      </c>
      <c r="G243" s="0" t="n">
        <v>130</v>
      </c>
      <c r="H243" s="0" t="n">
        <v>8.57</v>
      </c>
      <c r="I243" s="0" t="s">
        <v>142</v>
      </c>
      <c r="J243" s="0" t="s">
        <v>203</v>
      </c>
      <c r="K243" s="5" t="n">
        <v>45855</v>
      </c>
      <c r="L243" s="0" t="n">
        <v>25</v>
      </c>
      <c r="M243" s="0" t="str">
        <f aca="false">CONCATENATE(B243," ",C243)</f>
        <v>Dommett Steve</v>
      </c>
      <c r="N243" s="0" t="s">
        <v>8</v>
      </c>
    </row>
    <row r="244" customFormat="false" ht="15" hidden="false" customHeight="false" outlineLevel="0" collapsed="false">
      <c r="A244" s="0" t="n">
        <v>23</v>
      </c>
      <c r="B244" s="0" t="s">
        <v>169</v>
      </c>
      <c r="C244" s="0" t="s">
        <v>170</v>
      </c>
      <c r="D244" s="0" t="s">
        <v>429</v>
      </c>
      <c r="E244" s="6" t="n">
        <v>0.0462384259259259</v>
      </c>
      <c r="F244" s="0" t="n">
        <v>130</v>
      </c>
      <c r="G244" s="0" t="n">
        <v>130</v>
      </c>
      <c r="H244" s="0" t="n">
        <v>8.1</v>
      </c>
      <c r="I244" s="0" t="s">
        <v>144</v>
      </c>
      <c r="J244" s="0" t="s">
        <v>193</v>
      </c>
      <c r="K244" s="5" t="n">
        <v>45824</v>
      </c>
      <c r="L244" s="0" t="n">
        <v>10</v>
      </c>
      <c r="M244" s="0" t="str">
        <f aca="false">CONCATENATE(B244," ",C244)</f>
        <v>Nick Whittingham</v>
      </c>
      <c r="N244" s="0" t="s">
        <v>8</v>
      </c>
    </row>
    <row r="245" customFormat="false" ht="15" hidden="false" customHeight="false" outlineLevel="0" collapsed="false">
      <c r="A245" s="0" t="n">
        <v>24</v>
      </c>
      <c r="B245" s="0" t="s">
        <v>378</v>
      </c>
      <c r="C245" s="0" t="s">
        <v>379</v>
      </c>
      <c r="D245" s="0" t="s">
        <v>430</v>
      </c>
      <c r="E245" s="6" t="n">
        <v>0.0487731481481482</v>
      </c>
      <c r="F245" s="0" t="n">
        <v>120</v>
      </c>
      <c r="G245" s="0" t="n">
        <v>120</v>
      </c>
      <c r="H245" s="0" t="n">
        <v>9.76</v>
      </c>
      <c r="I245" s="0" t="s">
        <v>237</v>
      </c>
      <c r="J245" s="0" t="s">
        <v>216</v>
      </c>
      <c r="K245" s="5" t="n">
        <v>45863</v>
      </c>
      <c r="L245" s="0" t="n">
        <v>3</v>
      </c>
      <c r="M245" s="0" t="str">
        <f aca="false">CONCATENATE(B245," ",C245)</f>
        <v>Andrea Henson</v>
      </c>
      <c r="N245" s="0" t="s">
        <v>8</v>
      </c>
    </row>
    <row r="246" customFormat="false" ht="15" hidden="false" customHeight="false" outlineLevel="0" collapsed="false">
      <c r="A246" s="0" t="n">
        <v>25</v>
      </c>
      <c r="B246" s="0" t="s">
        <v>383</v>
      </c>
      <c r="C246" s="0" t="s">
        <v>384</v>
      </c>
      <c r="D246" s="0" t="s">
        <v>430</v>
      </c>
      <c r="E246" s="6" t="n">
        <v>0.0487731481481482</v>
      </c>
      <c r="F246" s="0" t="n">
        <v>120</v>
      </c>
      <c r="G246" s="0" t="n">
        <v>120</v>
      </c>
      <c r="H246" s="0" t="n">
        <v>9.76</v>
      </c>
      <c r="I246" s="0" t="s">
        <v>217</v>
      </c>
      <c r="J246" s="0" t="s">
        <v>386</v>
      </c>
      <c r="K246" s="5" t="n">
        <v>45863</v>
      </c>
      <c r="L246" s="0" t="n">
        <v>7</v>
      </c>
      <c r="M246" s="0" t="str">
        <f aca="false">CONCATENATE(B246," ",C246)</f>
        <v>Heather Lindley</v>
      </c>
      <c r="N246" s="0" t="s">
        <v>8</v>
      </c>
    </row>
    <row r="247" customFormat="false" ht="15" hidden="false" customHeight="false" outlineLevel="0" collapsed="false">
      <c r="A247" s="0" t="n">
        <v>26</v>
      </c>
      <c r="B247" s="0" t="s">
        <v>162</v>
      </c>
      <c r="C247" s="0" t="s">
        <v>72</v>
      </c>
      <c r="D247" s="0" t="s">
        <v>430</v>
      </c>
      <c r="E247" s="6" t="n">
        <v>0.0487731481481482</v>
      </c>
      <c r="F247" s="0" t="n">
        <v>120</v>
      </c>
      <c r="G247" s="0" t="n">
        <v>120</v>
      </c>
      <c r="H247" s="0" t="n">
        <v>9.76</v>
      </c>
      <c r="I247" s="0" t="s">
        <v>235</v>
      </c>
      <c r="J247" s="0" t="s">
        <v>238</v>
      </c>
      <c r="K247" s="5" t="n">
        <v>45863</v>
      </c>
      <c r="L247" s="0" t="n">
        <v>20</v>
      </c>
      <c r="M247" s="0" t="str">
        <f aca="false">CONCATENATE(B247," ",C247)</f>
        <v>Helen Fryers</v>
      </c>
      <c r="N247" s="0" t="s">
        <v>8</v>
      </c>
    </row>
    <row r="248" customFormat="false" ht="15" hidden="false" customHeight="false" outlineLevel="0" collapsed="false">
      <c r="A248" s="0" t="n">
        <v>27</v>
      </c>
      <c r="B248" s="0" t="s">
        <v>190</v>
      </c>
      <c r="C248" s="0" t="s">
        <v>191</v>
      </c>
      <c r="D248" s="0" t="s">
        <v>431</v>
      </c>
      <c r="E248" s="4" t="n">
        <v>2.40138888888889</v>
      </c>
      <c r="F248" s="0" t="n">
        <v>100</v>
      </c>
      <c r="G248" s="0" t="n">
        <v>100</v>
      </c>
      <c r="H248" s="0" t="n">
        <v>7.7</v>
      </c>
      <c r="I248" s="0" t="s">
        <v>149</v>
      </c>
      <c r="J248" s="0" t="s">
        <v>206</v>
      </c>
      <c r="K248" s="5" t="n">
        <v>45827</v>
      </c>
      <c r="L248" s="0" t="n">
        <v>12</v>
      </c>
      <c r="M248" s="0" t="str">
        <f aca="false">CONCATENATE(B248," ",C248)</f>
        <v>Stu Smith</v>
      </c>
      <c r="N248" s="0" t="s">
        <v>8</v>
      </c>
    </row>
    <row r="249" customFormat="false" ht="15" hidden="false" customHeight="false" outlineLevel="0" collapsed="false">
      <c r="A249" s="0" t="n">
        <v>28</v>
      </c>
      <c r="B249" s="0" t="s">
        <v>194</v>
      </c>
      <c r="C249" s="0" t="s">
        <v>119</v>
      </c>
      <c r="D249" s="0" t="s">
        <v>432</v>
      </c>
      <c r="E249" s="4" t="n">
        <v>2.49166666666667</v>
      </c>
      <c r="F249" s="0" t="n">
        <v>100</v>
      </c>
      <c r="G249" s="0" t="n">
        <v>100</v>
      </c>
      <c r="H249" s="0" t="n">
        <v>7.72</v>
      </c>
      <c r="I249" s="0" t="s">
        <v>151</v>
      </c>
      <c r="J249" s="0" t="s">
        <v>229</v>
      </c>
      <c r="K249" s="5" t="n">
        <v>45827</v>
      </c>
      <c r="L249" s="0" t="n">
        <v>30</v>
      </c>
      <c r="M249" s="0" t="str">
        <f aca="false">CONCATENATE(B249," ",C249)</f>
        <v>Dommett Steve</v>
      </c>
      <c r="N249" s="0" t="s">
        <v>8</v>
      </c>
    </row>
    <row r="250" customFormat="false" ht="15" hidden="false" customHeight="false" outlineLevel="0" collapsed="false">
      <c r="A250" s="0" t="n">
        <v>29</v>
      </c>
      <c r="B250" s="0" t="s">
        <v>146</v>
      </c>
      <c r="C250" s="0" t="s">
        <v>147</v>
      </c>
      <c r="D250" s="0" t="s">
        <v>433</v>
      </c>
      <c r="E250" s="6" t="n">
        <v>0.0578125</v>
      </c>
      <c r="F250" s="0" t="n">
        <v>120</v>
      </c>
      <c r="G250" s="0" t="n">
        <v>80</v>
      </c>
      <c r="H250" s="0" t="n">
        <v>11.12</v>
      </c>
      <c r="I250" s="0" t="s">
        <v>154</v>
      </c>
      <c r="J250" s="0" t="s">
        <v>118</v>
      </c>
      <c r="K250" s="5" t="n">
        <v>45859</v>
      </c>
      <c r="L250" s="0" t="n">
        <v>22</v>
      </c>
      <c r="M250" s="0" t="str">
        <f aca="false">CONCATENATE(B250," ",C250)</f>
        <v>Matthew Coldwell</v>
      </c>
      <c r="N250" s="0" t="s">
        <v>8</v>
      </c>
    </row>
    <row r="251" customFormat="false" ht="15" hidden="false" customHeight="false" outlineLevel="0" collapsed="false">
      <c r="A251" s="0" t="n">
        <v>30</v>
      </c>
      <c r="B251" s="0" t="s">
        <v>197</v>
      </c>
      <c r="C251" s="0" t="s">
        <v>198</v>
      </c>
      <c r="D251" s="0" t="s">
        <v>434</v>
      </c>
      <c r="E251" s="4" t="n">
        <v>2.36388888888889</v>
      </c>
      <c r="F251" s="0" t="n">
        <v>70</v>
      </c>
      <c r="G251" s="0" t="n">
        <v>70</v>
      </c>
      <c r="H251" s="0" t="n">
        <v>5.66</v>
      </c>
      <c r="I251" s="0" t="s">
        <v>157</v>
      </c>
      <c r="J251" s="0" t="s">
        <v>200</v>
      </c>
      <c r="K251" s="5" t="n">
        <v>45860</v>
      </c>
      <c r="L251" s="0" t="n">
        <v>24</v>
      </c>
      <c r="M251" s="0" t="str">
        <f aca="false">CONCATENATE(B251," ",C251)</f>
        <v>Raymond Brown</v>
      </c>
      <c r="N251" s="0" t="s">
        <v>8</v>
      </c>
    </row>
    <row r="252" customFormat="false" ht="15" hidden="false" customHeight="false" outlineLevel="0" collapsed="false">
      <c r="A252" s="0" t="n">
        <v>31</v>
      </c>
      <c r="B252" s="0" t="s">
        <v>103</v>
      </c>
      <c r="C252" s="0" t="s">
        <v>104</v>
      </c>
      <c r="D252" s="0" t="s">
        <v>435</v>
      </c>
      <c r="E252" s="6" t="n">
        <v>0.0650810185185185</v>
      </c>
      <c r="F252" s="0" t="n">
        <v>110</v>
      </c>
      <c r="G252" s="0" t="n">
        <v>-30</v>
      </c>
      <c r="H252" s="0" t="n">
        <v>10.56</v>
      </c>
      <c r="I252" s="0" t="s">
        <v>160</v>
      </c>
      <c r="J252" s="0" t="s">
        <v>145</v>
      </c>
      <c r="K252" s="5" t="n">
        <v>45848</v>
      </c>
      <c r="L252" s="0" t="n">
        <v>28</v>
      </c>
      <c r="M252" s="0" t="str">
        <f aca="false">CONCATENATE(B252," ",C252)</f>
        <v>Chris Baldwin</v>
      </c>
      <c r="N252" s="0" t="s">
        <v>8</v>
      </c>
    </row>
    <row r="253" customFormat="false" ht="15" hidden="false" customHeight="false" outlineLevel="0" collapsed="false">
      <c r="A253" s="0" t="n">
        <v>32</v>
      </c>
      <c r="B253" s="0" t="s">
        <v>99</v>
      </c>
      <c r="C253" s="0" t="s">
        <v>100</v>
      </c>
      <c r="D253" s="0" t="s">
        <v>436</v>
      </c>
      <c r="E253" s="6" t="n">
        <v>0.0627314814814815</v>
      </c>
      <c r="F253" s="0" t="n">
        <v>30</v>
      </c>
      <c r="G253" s="0" t="n">
        <v>-80</v>
      </c>
      <c r="H253" s="0" t="n">
        <v>4.31</v>
      </c>
      <c r="I253" s="0" t="s">
        <v>242</v>
      </c>
      <c r="J253" s="0" t="s">
        <v>189</v>
      </c>
      <c r="K253" s="5" t="n">
        <v>45809</v>
      </c>
      <c r="L253" s="0" t="n">
        <v>36</v>
      </c>
      <c r="M253" s="0" t="str">
        <f aca="false">CONCATENATE(B253," ",C253)</f>
        <v>Jemma Williams</v>
      </c>
      <c r="N253" s="0" t="s">
        <v>8</v>
      </c>
    </row>
    <row r="254" customFormat="false" ht="15" hidden="false" customHeight="false" outlineLevel="0" collapsed="false">
      <c r="A254" s="0" t="n">
        <v>33</v>
      </c>
      <c r="B254" s="0" t="s">
        <v>127</v>
      </c>
      <c r="C254" s="0" t="s">
        <v>128</v>
      </c>
      <c r="D254" s="0" t="s">
        <v>437</v>
      </c>
      <c r="E254" s="6" t="n">
        <v>0.0950578703703704</v>
      </c>
      <c r="F254" s="0" t="n">
        <v>120</v>
      </c>
      <c r="G254" s="0" t="n">
        <v>-450</v>
      </c>
      <c r="H254" s="0" t="n">
        <v>13.54</v>
      </c>
      <c r="I254" s="0" t="s">
        <v>247</v>
      </c>
      <c r="J254" s="0" t="s">
        <v>236</v>
      </c>
      <c r="K254" s="5" t="n">
        <v>45813</v>
      </c>
      <c r="L254" s="0" t="n">
        <v>21</v>
      </c>
      <c r="M254" s="0" t="str">
        <f aca="false">CONCATENATE(B254," ",C254)</f>
        <v>Gemma Nutton</v>
      </c>
      <c r="N254" s="0" t="s">
        <v>8</v>
      </c>
    </row>
    <row r="255" customFormat="false" ht="15" hidden="false" customHeight="false" outlineLevel="0" collapsed="false">
      <c r="A255" s="0" t="n">
        <v>34</v>
      </c>
      <c r="B255" s="0" t="s">
        <v>123</v>
      </c>
      <c r="C255" s="0" t="s">
        <v>124</v>
      </c>
      <c r="D255" s="0" t="s">
        <v>437</v>
      </c>
      <c r="E255" s="6" t="n">
        <v>0.0951273148148148</v>
      </c>
      <c r="F255" s="0" t="n">
        <v>120</v>
      </c>
      <c r="G255" s="0" t="n">
        <v>-450</v>
      </c>
      <c r="H255" s="0" t="n">
        <v>12.12</v>
      </c>
      <c r="I255" s="0" t="s">
        <v>309</v>
      </c>
      <c r="J255" s="0" t="s">
        <v>313</v>
      </c>
      <c r="K255" s="5" t="n">
        <v>45813</v>
      </c>
      <c r="L255" s="0" t="n">
        <v>32</v>
      </c>
      <c r="M255" s="0" t="str">
        <f aca="false">CONCATENATE(B255," ",C255)</f>
        <v>Jill Scrivens</v>
      </c>
      <c r="N255" s="0" t="s">
        <v>8</v>
      </c>
    </row>
    <row r="256" customFormat="false" ht="15" hidden="false" customHeight="false" outlineLevel="0" collapsed="false">
      <c r="A256" s="0" t="n">
        <v>35</v>
      </c>
      <c r="B256" s="0" t="s">
        <v>438</v>
      </c>
      <c r="C256" s="0" t="s">
        <v>439</v>
      </c>
      <c r="D256" s="0" t="s">
        <v>440</v>
      </c>
      <c r="E256" s="6" t="n">
        <v>0.0951736111111111</v>
      </c>
      <c r="F256" s="0" t="n">
        <v>120</v>
      </c>
      <c r="G256" s="0" t="n">
        <v>-460</v>
      </c>
      <c r="H256" s="0" t="n">
        <v>9.44</v>
      </c>
      <c r="I256" s="0" t="s">
        <v>312</v>
      </c>
      <c r="J256" s="0" t="s">
        <v>330</v>
      </c>
      <c r="K256" s="5" t="n">
        <v>45813</v>
      </c>
      <c r="L256" s="0" t="n">
        <v>33</v>
      </c>
      <c r="M256" s="0" t="str">
        <f aca="false">CONCATENATE(B256," ",C256)</f>
        <v>Mandy Helliwell</v>
      </c>
      <c r="N256" s="0" t="s">
        <v>8</v>
      </c>
    </row>
    <row r="257" customFormat="false" ht="15" hidden="false" customHeight="false" outlineLevel="0" collapsed="false">
      <c r="A257" s="0" t="n">
        <v>36</v>
      </c>
      <c r="B257" s="0" t="s">
        <v>99</v>
      </c>
      <c r="C257" s="0" t="s">
        <v>100</v>
      </c>
      <c r="D257" s="0" t="s">
        <v>441</v>
      </c>
      <c r="E257" s="6" t="n">
        <v>0.101851851851852</v>
      </c>
      <c r="F257" s="0" t="n">
        <v>170</v>
      </c>
      <c r="G257" s="0" t="n">
        <v>-500</v>
      </c>
      <c r="H257" s="0" t="n">
        <v>11.96</v>
      </c>
      <c r="I257" s="0" t="s">
        <v>317</v>
      </c>
      <c r="J257" s="0" t="s">
        <v>218</v>
      </c>
      <c r="K257" s="5" t="n">
        <v>45824</v>
      </c>
      <c r="L257" s="0" t="n">
        <v>38</v>
      </c>
      <c r="M257" s="0" t="str">
        <f aca="false">CONCATENATE(B257," ",C257)</f>
        <v>Jemma Williams</v>
      </c>
      <c r="N257" s="0" t="s">
        <v>8</v>
      </c>
    </row>
    <row r="258" customFormat="false" ht="15" hidden="false" customHeight="false" outlineLevel="0" collapsed="false">
      <c r="A258" s="0" t="n">
        <v>37</v>
      </c>
      <c r="B258" s="0" t="s">
        <v>99</v>
      </c>
      <c r="C258" s="0" t="s">
        <v>100</v>
      </c>
      <c r="D258" s="0" t="s">
        <v>442</v>
      </c>
      <c r="E258" s="6" t="n">
        <v>0.103020833333333</v>
      </c>
      <c r="F258" s="0" t="n">
        <v>50</v>
      </c>
      <c r="G258" s="0" t="n">
        <v>-640</v>
      </c>
      <c r="H258" s="0" t="n">
        <v>7.01</v>
      </c>
      <c r="I258" s="0" t="s">
        <v>314</v>
      </c>
      <c r="J258" s="0" t="s">
        <v>243</v>
      </c>
      <c r="K258" s="5" t="n">
        <v>45824</v>
      </c>
      <c r="L258" s="0" t="n">
        <v>31</v>
      </c>
      <c r="M258" s="0" t="str">
        <f aca="false">CONCATENATE(B258," ",C258)</f>
        <v>Jemma Williams</v>
      </c>
      <c r="N258" s="0" t="s">
        <v>8</v>
      </c>
    </row>
    <row r="259" customFormat="false" ht="15" hidden="false" customHeight="false" outlineLevel="0" collapsed="false">
      <c r="A259" s="8" t="n">
        <v>1</v>
      </c>
      <c r="B259" s="8" t="s">
        <v>89</v>
      </c>
      <c r="C259" s="8" t="s">
        <v>90</v>
      </c>
      <c r="D259" s="8" t="s">
        <v>443</v>
      </c>
      <c r="E259" s="9" t="n">
        <v>0.0554398148148148</v>
      </c>
      <c r="F259" s="8" t="n">
        <v>210</v>
      </c>
      <c r="G259" s="8" t="n">
        <v>210</v>
      </c>
      <c r="H259" s="8" t="n">
        <v>14.01</v>
      </c>
      <c r="I259" s="8" t="s">
        <v>74</v>
      </c>
      <c r="J259" s="8" t="s">
        <v>84</v>
      </c>
      <c r="K259" s="10" t="n">
        <v>45938</v>
      </c>
      <c r="L259" s="8" t="n">
        <v>5</v>
      </c>
      <c r="M259" s="0" t="str">
        <f aca="false">CONCATENATE(B259," ",C259)</f>
        <v>Shaun Swallow</v>
      </c>
      <c r="N259" s="0" t="s">
        <v>1</v>
      </c>
    </row>
    <row r="260" customFormat="false" ht="15" hidden="false" customHeight="false" outlineLevel="0" collapsed="false">
      <c r="A260" s="8" t="n">
        <v>2</v>
      </c>
      <c r="B260" s="8" t="s">
        <v>99</v>
      </c>
      <c r="C260" s="8" t="s">
        <v>100</v>
      </c>
      <c r="D260" s="8" t="s">
        <v>444</v>
      </c>
      <c r="E260" s="9" t="n">
        <v>0.0527430555555556</v>
      </c>
      <c r="F260" s="8" t="n">
        <v>200</v>
      </c>
      <c r="G260" s="8" t="n">
        <v>200</v>
      </c>
      <c r="H260" s="8" t="n">
        <v>11.7</v>
      </c>
      <c r="I260" s="8" t="s">
        <v>101</v>
      </c>
      <c r="J260" s="8" t="s">
        <v>102</v>
      </c>
      <c r="K260" s="10" t="n">
        <v>45985</v>
      </c>
      <c r="L260" s="8" t="n">
        <v>16</v>
      </c>
      <c r="M260" s="0" t="str">
        <f aca="false">CONCATENATE(B260," ",C260)</f>
        <v>Jemma Williams</v>
      </c>
      <c r="N260" s="0" t="s">
        <v>1</v>
      </c>
    </row>
    <row r="261" customFormat="false" ht="15" hidden="false" customHeight="false" outlineLevel="0" collapsed="false">
      <c r="A261" s="8" t="n">
        <v>3</v>
      </c>
      <c r="B261" s="8" t="s">
        <v>119</v>
      </c>
      <c r="C261" s="8" t="s">
        <v>120</v>
      </c>
      <c r="D261" s="8" t="s">
        <v>445</v>
      </c>
      <c r="E261" s="9" t="n">
        <v>0.0468171296296296</v>
      </c>
      <c r="F261" s="8" t="n">
        <v>180</v>
      </c>
      <c r="G261" s="8" t="n">
        <v>180</v>
      </c>
      <c r="H261" s="8" t="n">
        <v>9.58</v>
      </c>
      <c r="I261" s="8" t="s">
        <v>83</v>
      </c>
      <c r="J261" s="8" t="s">
        <v>122</v>
      </c>
      <c r="K261" s="10" t="n">
        <v>45959</v>
      </c>
      <c r="L261" s="8" t="n">
        <v>10</v>
      </c>
      <c r="M261" s="0" t="str">
        <f aca="false">CONCATENATE(B261," ",C261)</f>
        <v>Steve Dickinson</v>
      </c>
      <c r="N261" s="0" t="s">
        <v>1</v>
      </c>
    </row>
    <row r="262" customFormat="false" ht="15" hidden="false" customHeight="false" outlineLevel="0" collapsed="false">
      <c r="A262" s="8" t="n">
        <v>4</v>
      </c>
      <c r="B262" s="8" t="s">
        <v>135</v>
      </c>
      <c r="C262" s="8" t="s">
        <v>136</v>
      </c>
      <c r="D262" s="8" t="s">
        <v>445</v>
      </c>
      <c r="E262" s="9" t="n">
        <v>0.0471064814814815</v>
      </c>
      <c r="F262" s="8" t="n">
        <v>180</v>
      </c>
      <c r="G262" s="8" t="n">
        <v>180</v>
      </c>
      <c r="H262" s="8" t="n">
        <v>9.63</v>
      </c>
      <c r="I262" s="8" t="s">
        <v>87</v>
      </c>
      <c r="J262" s="8" t="s">
        <v>139</v>
      </c>
      <c r="K262" s="10" t="n">
        <v>45959</v>
      </c>
      <c r="L262" s="8" t="n">
        <v>11</v>
      </c>
      <c r="M262" s="0" t="str">
        <f aca="false">CONCATENATE(B262," ",C262)</f>
        <v>Alan Knox</v>
      </c>
      <c r="N262" s="0" t="s">
        <v>1</v>
      </c>
    </row>
    <row r="263" customFormat="false" ht="15" hidden="false" customHeight="false" outlineLevel="0" collapsed="false">
      <c r="A263" s="8" t="n">
        <v>5</v>
      </c>
      <c r="B263" s="8" t="s">
        <v>99</v>
      </c>
      <c r="C263" s="8" t="s">
        <v>100</v>
      </c>
      <c r="D263" s="8" t="s">
        <v>446</v>
      </c>
      <c r="E263" s="9" t="n">
        <v>0.0503472222222222</v>
      </c>
      <c r="F263" s="8" t="n">
        <v>180</v>
      </c>
      <c r="G263" s="8" t="n">
        <v>180</v>
      </c>
      <c r="H263" s="8" t="n">
        <v>10.19</v>
      </c>
      <c r="I263" s="8" t="s">
        <v>125</v>
      </c>
      <c r="J263" s="8" t="s">
        <v>189</v>
      </c>
      <c r="K263" s="10" t="n">
        <v>45978</v>
      </c>
      <c r="L263" s="8" t="n">
        <v>14</v>
      </c>
      <c r="M263" s="0" t="str">
        <f aca="false">CONCATENATE(B263," ",C263)</f>
        <v>Jemma Williams</v>
      </c>
      <c r="N263" s="0" t="s">
        <v>1</v>
      </c>
    </row>
    <row r="264" customFormat="false" ht="15" hidden="false" customHeight="false" outlineLevel="0" collapsed="false">
      <c r="A264" s="8" t="n">
        <v>6</v>
      </c>
      <c r="B264" s="8" t="s">
        <v>127</v>
      </c>
      <c r="C264" s="8" t="s">
        <v>128</v>
      </c>
      <c r="D264" s="8" t="s">
        <v>446</v>
      </c>
      <c r="E264" s="9" t="n">
        <v>0.0503819444444444</v>
      </c>
      <c r="F264" s="8" t="n">
        <v>180</v>
      </c>
      <c r="G264" s="8" t="n">
        <v>180</v>
      </c>
      <c r="H264" s="8" t="n">
        <v>10.31</v>
      </c>
      <c r="I264" s="8" t="s">
        <v>129</v>
      </c>
      <c r="J264" s="8" t="s">
        <v>130</v>
      </c>
      <c r="K264" s="10" t="n">
        <v>45978</v>
      </c>
      <c r="L264" s="8" t="n">
        <v>15</v>
      </c>
      <c r="M264" s="0" t="str">
        <f aca="false">CONCATENATE(B264," ",C264)</f>
        <v>Gemma Nutton</v>
      </c>
      <c r="N264" s="0" t="s">
        <v>1</v>
      </c>
    </row>
    <row r="265" customFormat="false" ht="15" hidden="false" customHeight="false" outlineLevel="0" collapsed="false">
      <c r="A265" s="8" t="n">
        <v>7</v>
      </c>
      <c r="B265" s="8" t="s">
        <v>103</v>
      </c>
      <c r="C265" s="8" t="s">
        <v>104</v>
      </c>
      <c r="D265" s="8" t="s">
        <v>446</v>
      </c>
      <c r="E265" s="9" t="n">
        <v>0.0532175925925926</v>
      </c>
      <c r="F265" s="8" t="n">
        <v>180</v>
      </c>
      <c r="G265" s="8" t="n">
        <v>180</v>
      </c>
      <c r="H265" s="8" t="n">
        <v>11.31</v>
      </c>
      <c r="I265" s="8" t="s">
        <v>92</v>
      </c>
      <c r="J265" s="8" t="s">
        <v>106</v>
      </c>
      <c r="K265" s="10" t="n">
        <v>45941</v>
      </c>
      <c r="L265" s="8" t="n">
        <v>6</v>
      </c>
      <c r="M265" s="0" t="str">
        <f aca="false">CONCATENATE(B265," ",C265)</f>
        <v>Chris Baldwin</v>
      </c>
      <c r="N265" s="0" t="s">
        <v>1</v>
      </c>
    </row>
    <row r="266" customFormat="false" ht="15" hidden="false" customHeight="false" outlineLevel="0" collapsed="false">
      <c r="A266" s="8" t="n">
        <v>8</v>
      </c>
      <c r="B266" s="8" t="s">
        <v>89</v>
      </c>
      <c r="C266" s="8" t="s">
        <v>90</v>
      </c>
      <c r="D266" s="8" t="s">
        <v>447</v>
      </c>
      <c r="E266" s="9" t="n">
        <v>0.0506597222222222</v>
      </c>
      <c r="F266" s="8" t="n">
        <v>160</v>
      </c>
      <c r="G266" s="8" t="n">
        <v>160</v>
      </c>
      <c r="H266" s="8" t="n">
        <v>11.37</v>
      </c>
      <c r="I266" s="8" t="s">
        <v>95</v>
      </c>
      <c r="J266" s="8" t="s">
        <v>93</v>
      </c>
      <c r="K266" s="10" t="n">
        <v>45935</v>
      </c>
      <c r="L266" s="8" t="n">
        <v>2</v>
      </c>
      <c r="M266" s="0" t="str">
        <f aca="false">CONCATENATE(B266," ",C266)</f>
        <v>Shaun Swallow</v>
      </c>
      <c r="N266" s="0" t="s">
        <v>1</v>
      </c>
    </row>
    <row r="267" customFormat="false" ht="15" hidden="false" customHeight="false" outlineLevel="0" collapsed="false">
      <c r="A267" s="8" t="n">
        <v>9</v>
      </c>
      <c r="B267" s="8" t="s">
        <v>135</v>
      </c>
      <c r="C267" s="8" t="s">
        <v>136</v>
      </c>
      <c r="D267" s="8" t="s">
        <v>448</v>
      </c>
      <c r="E267" s="9" t="n">
        <v>0.0523958333333333</v>
      </c>
      <c r="F267" s="8" t="n">
        <v>150</v>
      </c>
      <c r="G267" s="8" t="n">
        <v>150</v>
      </c>
      <c r="H267" s="8" t="n">
        <v>9.63</v>
      </c>
      <c r="I267" s="8" t="s">
        <v>97</v>
      </c>
      <c r="J267" s="8" t="s">
        <v>158</v>
      </c>
      <c r="K267" s="10" t="n">
        <v>45938</v>
      </c>
      <c r="L267" s="8" t="n">
        <v>3</v>
      </c>
      <c r="M267" s="0" t="str">
        <f aca="false">CONCATENATE(B267," ",C267)</f>
        <v>Alan Knox</v>
      </c>
      <c r="N267" s="0" t="s">
        <v>1</v>
      </c>
    </row>
    <row r="268" customFormat="false" ht="15" hidden="false" customHeight="false" outlineLevel="0" collapsed="false">
      <c r="A268" s="8" t="n">
        <v>10</v>
      </c>
      <c r="B268" s="8" t="s">
        <v>119</v>
      </c>
      <c r="C268" s="8" t="s">
        <v>120</v>
      </c>
      <c r="D268" s="8" t="s">
        <v>448</v>
      </c>
      <c r="E268" s="9" t="n">
        <v>0.0524421296296296</v>
      </c>
      <c r="F268" s="8" t="n">
        <v>150</v>
      </c>
      <c r="G268" s="8" t="n">
        <v>150</v>
      </c>
      <c r="H268" s="8" t="n">
        <v>9.7</v>
      </c>
      <c r="I268" s="8" t="s">
        <v>105</v>
      </c>
      <c r="J268" s="8" t="s">
        <v>152</v>
      </c>
      <c r="K268" s="10" t="n">
        <v>45938</v>
      </c>
      <c r="L268" s="8" t="n">
        <v>4</v>
      </c>
      <c r="M268" s="0" t="str">
        <f aca="false">CONCATENATE(B268," ",C268)</f>
        <v>Steve Dickinson</v>
      </c>
      <c r="N268" s="0" t="s">
        <v>1</v>
      </c>
    </row>
    <row r="269" customFormat="false" ht="15" hidden="false" customHeight="false" outlineLevel="0" collapsed="false">
      <c r="A269" s="8" t="n">
        <v>11</v>
      </c>
      <c r="B269" s="8" t="s">
        <v>169</v>
      </c>
      <c r="C269" s="8" t="s">
        <v>170</v>
      </c>
      <c r="D269" s="8" t="s">
        <v>449</v>
      </c>
      <c r="E269" s="9" t="n">
        <v>0.0529166666666667</v>
      </c>
      <c r="F269" s="8" t="n">
        <v>140</v>
      </c>
      <c r="G269" s="8" t="n">
        <v>140</v>
      </c>
      <c r="H269" s="8" t="n">
        <v>7.97</v>
      </c>
      <c r="I269" s="8" t="s">
        <v>110</v>
      </c>
      <c r="J269" s="8" t="s">
        <v>173</v>
      </c>
      <c r="K269" s="10" t="n">
        <v>45972</v>
      </c>
      <c r="L269" s="8" t="n">
        <v>13</v>
      </c>
      <c r="M269" s="0" t="str">
        <f aca="false">CONCATENATE(B269," ",C269)</f>
        <v>Nick Whittingham</v>
      </c>
      <c r="N269" s="0" t="s">
        <v>1</v>
      </c>
    </row>
    <row r="270" customFormat="false" ht="15" hidden="false" customHeight="false" outlineLevel="0" collapsed="false">
      <c r="A270" s="8" t="n">
        <v>12</v>
      </c>
      <c r="B270" s="8" t="s">
        <v>194</v>
      </c>
      <c r="C270" s="8" t="s">
        <v>119</v>
      </c>
      <c r="D270" s="8" t="s">
        <v>450</v>
      </c>
      <c r="E270" s="9" t="n">
        <v>0.0478009259259259</v>
      </c>
      <c r="F270" s="8" t="n">
        <v>120</v>
      </c>
      <c r="G270" s="8" t="n">
        <v>120</v>
      </c>
      <c r="H270" s="8" t="n">
        <v>7.53</v>
      </c>
      <c r="I270" s="8" t="s">
        <v>117</v>
      </c>
      <c r="J270" s="8" t="s">
        <v>196</v>
      </c>
      <c r="K270" s="10" t="n">
        <v>45943</v>
      </c>
      <c r="L270" s="8" t="n">
        <v>7</v>
      </c>
      <c r="M270" s="0" t="str">
        <f aca="false">CONCATENATE(B270," ",C270)</f>
        <v>Dommett Steve</v>
      </c>
      <c r="N270" s="0" t="s">
        <v>1</v>
      </c>
    </row>
    <row r="271" customFormat="false" ht="15" hidden="false" customHeight="false" outlineLevel="0" collapsed="false">
      <c r="A271" s="8" t="n">
        <v>13</v>
      </c>
      <c r="B271" s="8" t="s">
        <v>190</v>
      </c>
      <c r="C271" s="8" t="s">
        <v>191</v>
      </c>
      <c r="D271" s="8" t="s">
        <v>450</v>
      </c>
      <c r="E271" s="9" t="n">
        <v>0.0478819444444444</v>
      </c>
      <c r="F271" s="8" t="n">
        <v>120</v>
      </c>
      <c r="G271" s="8" t="n">
        <v>120</v>
      </c>
      <c r="H271" s="8" t="n">
        <v>7.57</v>
      </c>
      <c r="I271" s="8" t="s">
        <v>121</v>
      </c>
      <c r="J271" s="8" t="s">
        <v>176</v>
      </c>
      <c r="K271" s="10" t="n">
        <v>45943</v>
      </c>
      <c r="L271" s="8" t="n">
        <v>8</v>
      </c>
      <c r="M271" s="0" t="str">
        <f aca="false">CONCATENATE(B271," ",C271)</f>
        <v>Stu Smith</v>
      </c>
      <c r="N271" s="0" t="s">
        <v>1</v>
      </c>
    </row>
    <row r="272" customFormat="false" ht="15" hidden="false" customHeight="false" outlineLevel="0" collapsed="false">
      <c r="A272" s="8" t="n">
        <v>14</v>
      </c>
      <c r="B272" s="8" t="s">
        <v>169</v>
      </c>
      <c r="C272" s="8" t="s">
        <v>170</v>
      </c>
      <c r="D272" s="8" t="s">
        <v>451</v>
      </c>
      <c r="E272" s="9" t="n">
        <v>0.050775462962963</v>
      </c>
      <c r="F272" s="8" t="n">
        <v>100</v>
      </c>
      <c r="G272" s="8" t="n">
        <v>100</v>
      </c>
      <c r="H272" s="8" t="n">
        <v>7.81</v>
      </c>
      <c r="I272" s="8" t="s">
        <v>133</v>
      </c>
      <c r="J272" s="8" t="s">
        <v>193</v>
      </c>
      <c r="K272" s="10" t="n">
        <v>45951</v>
      </c>
      <c r="L272" s="8" t="n">
        <v>9</v>
      </c>
      <c r="M272" s="0" t="str">
        <f aca="false">CONCATENATE(B272," ",C272)</f>
        <v>Nick Whittingham</v>
      </c>
      <c r="N272" s="0" t="s">
        <v>1</v>
      </c>
    </row>
    <row r="273" customFormat="false" ht="15" hidden="false" customHeight="false" outlineLevel="0" collapsed="false">
      <c r="A273" s="8" t="n">
        <v>15</v>
      </c>
      <c r="B273" s="8" t="s">
        <v>99</v>
      </c>
      <c r="C273" s="8" t="s">
        <v>100</v>
      </c>
      <c r="D273" s="8" t="s">
        <v>452</v>
      </c>
      <c r="E273" s="9" t="n">
        <v>0.0643981481481482</v>
      </c>
      <c r="F273" s="8" t="n">
        <v>180</v>
      </c>
      <c r="G273" s="8" t="n">
        <v>50</v>
      </c>
      <c r="H273" s="8" t="n">
        <v>13.71</v>
      </c>
      <c r="I273" s="8" t="s">
        <v>180</v>
      </c>
      <c r="J273" s="8" t="s">
        <v>218</v>
      </c>
      <c r="K273" s="10" t="n">
        <v>45971</v>
      </c>
      <c r="L273" s="8" t="n">
        <v>12</v>
      </c>
      <c r="M273" s="0" t="str">
        <f aca="false">CONCATENATE(B273," ",C273)</f>
        <v>Jemma Williams</v>
      </c>
      <c r="N273" s="0" t="s">
        <v>1</v>
      </c>
    </row>
    <row r="274" customFormat="false" ht="15" hidden="false" customHeight="false" outlineLevel="0" collapsed="false">
      <c r="A274" s="11" t="n">
        <v>1</v>
      </c>
      <c r="B274" s="11" t="s">
        <v>85</v>
      </c>
      <c r="C274" s="11" t="s">
        <v>453</v>
      </c>
      <c r="D274" s="11" t="s">
        <v>454</v>
      </c>
      <c r="E274" s="12" t="n">
        <v>2.41388888888889</v>
      </c>
      <c r="F274" s="11" t="n">
        <v>250</v>
      </c>
      <c r="G274" s="11" t="n">
        <v>250</v>
      </c>
      <c r="H274" s="11" t="n">
        <v>11.07</v>
      </c>
      <c r="I274" s="11" t="s">
        <v>74</v>
      </c>
      <c r="J274" s="11" t="s">
        <v>88</v>
      </c>
      <c r="K274" s="13" t="n">
        <v>45991</v>
      </c>
      <c r="L274" s="11" t="n">
        <v>42</v>
      </c>
      <c r="M274" s="0" t="str">
        <f aca="false">CONCATENATE(B274," ",C274)</f>
        <v>Jon Hallam (Rev10)</v>
      </c>
      <c r="N274" s="0" t="s">
        <v>3</v>
      </c>
    </row>
    <row r="275" customFormat="false" ht="15" hidden="false" customHeight="false" outlineLevel="0" collapsed="false">
      <c r="A275" s="11" t="n">
        <v>2</v>
      </c>
      <c r="B275" s="11" t="s">
        <v>85</v>
      </c>
      <c r="C275" s="11" t="s">
        <v>86</v>
      </c>
      <c r="D275" s="11" t="s">
        <v>455</v>
      </c>
      <c r="E275" s="12" t="n">
        <v>2.41388888888889</v>
      </c>
      <c r="F275" s="11" t="n">
        <v>240</v>
      </c>
      <c r="G275" s="11" t="n">
        <v>240</v>
      </c>
      <c r="H275" s="11" t="n">
        <v>11.07</v>
      </c>
      <c r="I275" s="11" t="s">
        <v>83</v>
      </c>
      <c r="J275" s="11" t="s">
        <v>98</v>
      </c>
      <c r="K275" s="13" t="n">
        <v>45991</v>
      </c>
      <c r="L275" s="11" t="n">
        <v>41</v>
      </c>
      <c r="M275" s="0" t="str">
        <f aca="false">CONCATENATE(B275," ",C275)</f>
        <v>Jon Hallam</v>
      </c>
      <c r="N275" s="0" t="s">
        <v>3</v>
      </c>
    </row>
    <row r="276" customFormat="false" ht="15" hidden="false" customHeight="false" outlineLevel="0" collapsed="false">
      <c r="A276" s="11" t="n">
        <v>3</v>
      </c>
      <c r="B276" s="11" t="s">
        <v>89</v>
      </c>
      <c r="C276" s="11" t="s">
        <v>90</v>
      </c>
      <c r="D276" s="11" t="s">
        <v>456</v>
      </c>
      <c r="E276" s="12" t="n">
        <v>2.48958333333333</v>
      </c>
      <c r="F276" s="11" t="n">
        <v>240</v>
      </c>
      <c r="G276" s="11" t="n">
        <v>240</v>
      </c>
      <c r="H276" s="11" t="n">
        <v>10.47</v>
      </c>
      <c r="I276" s="11" t="s">
        <v>87</v>
      </c>
      <c r="J276" s="11" t="s">
        <v>84</v>
      </c>
      <c r="K276" s="13" t="n">
        <v>45965</v>
      </c>
      <c r="L276" s="11" t="n">
        <v>33</v>
      </c>
      <c r="M276" s="0" t="str">
        <f aca="false">CONCATENATE(B276," ",C276)</f>
        <v>Shaun Swallow</v>
      </c>
      <c r="N276" s="0" t="s">
        <v>3</v>
      </c>
    </row>
    <row r="277" customFormat="false" ht="15" hidden="false" customHeight="false" outlineLevel="0" collapsed="false">
      <c r="A277" s="11" t="n">
        <v>4</v>
      </c>
      <c r="B277" s="11" t="s">
        <v>99</v>
      </c>
      <c r="C277" s="11" t="s">
        <v>100</v>
      </c>
      <c r="D277" s="11" t="s">
        <v>457</v>
      </c>
      <c r="E277" s="12" t="n">
        <v>2.43611111111111</v>
      </c>
      <c r="F277" s="11" t="n">
        <v>220</v>
      </c>
      <c r="G277" s="11" t="n">
        <v>220</v>
      </c>
      <c r="H277" s="11" t="n">
        <v>10.24</v>
      </c>
      <c r="I277" s="11" t="s">
        <v>101</v>
      </c>
      <c r="J277" s="11" t="s">
        <v>102</v>
      </c>
      <c r="K277" s="13" t="n">
        <v>45964</v>
      </c>
      <c r="L277" s="11" t="n">
        <v>13</v>
      </c>
      <c r="M277" s="0" t="str">
        <f aca="false">CONCATENATE(B277," ",C277)</f>
        <v>Jemma Williams</v>
      </c>
      <c r="N277" s="0" t="s">
        <v>3</v>
      </c>
    </row>
    <row r="278" customFormat="false" ht="15" hidden="false" customHeight="false" outlineLevel="0" collapsed="false">
      <c r="A278" s="11" t="n">
        <v>5</v>
      </c>
      <c r="B278" s="11" t="s">
        <v>89</v>
      </c>
      <c r="C278" s="11" t="s">
        <v>90</v>
      </c>
      <c r="D278" s="11" t="s">
        <v>458</v>
      </c>
      <c r="E278" s="12" t="n">
        <v>2.45833333333333</v>
      </c>
      <c r="F278" s="11" t="n">
        <v>220</v>
      </c>
      <c r="G278" s="11" t="n">
        <v>220</v>
      </c>
      <c r="H278" s="11" t="n">
        <v>9.83</v>
      </c>
      <c r="I278" s="11" t="s">
        <v>92</v>
      </c>
      <c r="J278" s="11" t="s">
        <v>93</v>
      </c>
      <c r="K278" s="13" t="n">
        <v>45956</v>
      </c>
      <c r="L278" s="11" t="n">
        <v>26</v>
      </c>
      <c r="M278" s="0" t="str">
        <f aca="false">CONCATENATE(B278," ",C278)</f>
        <v>Shaun Swallow</v>
      </c>
      <c r="N278" s="0" t="s">
        <v>3</v>
      </c>
    </row>
    <row r="279" customFormat="false" ht="15" hidden="false" customHeight="false" outlineLevel="0" collapsed="false">
      <c r="A279" s="11" t="n">
        <v>6</v>
      </c>
      <c r="B279" s="11" t="s">
        <v>89</v>
      </c>
      <c r="C279" s="11" t="s">
        <v>90</v>
      </c>
      <c r="D279" s="11" t="s">
        <v>456</v>
      </c>
      <c r="E279" s="14" t="n">
        <v>0.0428819444444444</v>
      </c>
      <c r="F279" s="11" t="n">
        <v>240</v>
      </c>
      <c r="G279" s="11" t="n">
        <v>220</v>
      </c>
      <c r="H279" s="11" t="n">
        <v>10.87</v>
      </c>
      <c r="I279" s="11" t="s">
        <v>95</v>
      </c>
      <c r="J279" s="11" t="s">
        <v>111</v>
      </c>
      <c r="K279" s="13" t="n">
        <v>45961</v>
      </c>
      <c r="L279" s="11" t="n">
        <v>6</v>
      </c>
      <c r="M279" s="0" t="str">
        <f aca="false">CONCATENATE(B279," ",C279)</f>
        <v>Shaun Swallow</v>
      </c>
      <c r="N279" s="0" t="s">
        <v>3</v>
      </c>
    </row>
    <row r="280" customFormat="false" ht="15" hidden="false" customHeight="false" outlineLevel="0" collapsed="false">
      <c r="A280" s="11" t="n">
        <v>7</v>
      </c>
      <c r="B280" s="11" t="s">
        <v>85</v>
      </c>
      <c r="C280" s="11" t="s">
        <v>86</v>
      </c>
      <c r="D280" s="11" t="s">
        <v>454</v>
      </c>
      <c r="E280" s="14" t="n">
        <v>0.0433796296296296</v>
      </c>
      <c r="F280" s="11" t="n">
        <v>250</v>
      </c>
      <c r="G280" s="11" t="n">
        <v>220</v>
      </c>
      <c r="H280" s="11" t="n">
        <v>11.64</v>
      </c>
      <c r="I280" s="11" t="s">
        <v>97</v>
      </c>
      <c r="J280" s="11" t="s">
        <v>252</v>
      </c>
      <c r="K280" s="13" t="n">
        <v>45942</v>
      </c>
      <c r="L280" s="11" t="n">
        <v>35</v>
      </c>
      <c r="M280" s="0" t="str">
        <f aca="false">CONCATENATE(B280," ",C280)</f>
        <v>Jon Hallam</v>
      </c>
      <c r="N280" s="0" t="s">
        <v>3</v>
      </c>
    </row>
    <row r="281" customFormat="false" ht="15" hidden="false" customHeight="false" outlineLevel="0" collapsed="false">
      <c r="A281" s="11" t="n">
        <v>8</v>
      </c>
      <c r="B281" s="11" t="s">
        <v>103</v>
      </c>
      <c r="C281" s="11" t="s">
        <v>104</v>
      </c>
      <c r="D281" s="11" t="s">
        <v>459</v>
      </c>
      <c r="E281" s="12" t="n">
        <v>2.40625</v>
      </c>
      <c r="F281" s="11" t="n">
        <v>210</v>
      </c>
      <c r="G281" s="11" t="n">
        <v>210</v>
      </c>
      <c r="H281" s="11" t="n">
        <v>9.93</v>
      </c>
      <c r="I281" s="11" t="s">
        <v>105</v>
      </c>
      <c r="J281" s="11" t="s">
        <v>106</v>
      </c>
      <c r="K281" s="13" t="n">
        <v>45962</v>
      </c>
      <c r="L281" s="11" t="n">
        <v>19</v>
      </c>
      <c r="M281" s="0" t="str">
        <f aca="false">CONCATENATE(B281," ",C281)</f>
        <v>Chris Baldwin</v>
      </c>
      <c r="N281" s="0" t="s">
        <v>3</v>
      </c>
    </row>
    <row r="282" customFormat="false" ht="15" hidden="false" customHeight="false" outlineLevel="0" collapsed="false">
      <c r="A282" s="11" t="n">
        <v>9</v>
      </c>
      <c r="B282" s="11" t="s">
        <v>107</v>
      </c>
      <c r="C282" s="11" t="s">
        <v>108</v>
      </c>
      <c r="D282" s="11" t="s">
        <v>460</v>
      </c>
      <c r="E282" s="12" t="n">
        <v>2.47708333333333</v>
      </c>
      <c r="F282" s="11" t="n">
        <v>210</v>
      </c>
      <c r="G282" s="11" t="n">
        <v>210</v>
      </c>
      <c r="H282" s="11" t="n">
        <v>9.94</v>
      </c>
      <c r="I282" s="11" t="s">
        <v>110</v>
      </c>
      <c r="J282" s="11" t="s">
        <v>134</v>
      </c>
      <c r="K282" s="13" t="n">
        <v>45986</v>
      </c>
      <c r="L282" s="11" t="n">
        <v>7</v>
      </c>
      <c r="M282" s="0" t="str">
        <f aca="false">CONCATENATE(B282," ",C282)</f>
        <v>Dean Allcroft</v>
      </c>
      <c r="N282" s="0" t="s">
        <v>3</v>
      </c>
    </row>
    <row r="283" customFormat="false" ht="15" hidden="false" customHeight="false" outlineLevel="0" collapsed="false">
      <c r="A283" s="11" t="n">
        <v>10</v>
      </c>
      <c r="B283" s="11" t="s">
        <v>85</v>
      </c>
      <c r="C283" s="11" t="s">
        <v>86</v>
      </c>
      <c r="D283" s="11" t="s">
        <v>461</v>
      </c>
      <c r="E283" s="12" t="n">
        <v>2.49305555555556</v>
      </c>
      <c r="F283" s="11" t="n">
        <v>210</v>
      </c>
      <c r="G283" s="11" t="n">
        <v>210</v>
      </c>
      <c r="H283" s="11" t="n">
        <v>11.16</v>
      </c>
      <c r="I283" s="11" t="s">
        <v>117</v>
      </c>
      <c r="J283" s="11" t="s">
        <v>255</v>
      </c>
      <c r="K283" s="13" t="n">
        <v>45984</v>
      </c>
      <c r="L283" s="11" t="n">
        <v>20</v>
      </c>
      <c r="M283" s="0" t="str">
        <f aca="false">CONCATENATE(B283," ",C283)</f>
        <v>Jon Hallam</v>
      </c>
      <c r="N283" s="0" t="s">
        <v>3</v>
      </c>
    </row>
    <row r="284" customFormat="false" ht="15" hidden="false" customHeight="false" outlineLevel="0" collapsed="false">
      <c r="A284" s="11" t="n">
        <v>11</v>
      </c>
      <c r="B284" s="11" t="s">
        <v>99</v>
      </c>
      <c r="C284" s="11" t="s">
        <v>100</v>
      </c>
      <c r="D284" s="11" t="s">
        <v>462</v>
      </c>
      <c r="E284" s="12" t="n">
        <v>2.29444444444444</v>
      </c>
      <c r="F284" s="11" t="n">
        <v>200</v>
      </c>
      <c r="G284" s="11" t="n">
        <v>200</v>
      </c>
      <c r="H284" s="11" t="n">
        <v>9.85</v>
      </c>
      <c r="I284" s="11" t="s">
        <v>125</v>
      </c>
      <c r="J284" s="11" t="s">
        <v>189</v>
      </c>
      <c r="K284" s="13" t="n">
        <v>45943</v>
      </c>
      <c r="L284" s="11" t="n">
        <v>25</v>
      </c>
      <c r="M284" s="0" t="str">
        <f aca="false">CONCATENATE(B284," ",C284)</f>
        <v>Jemma Williams</v>
      </c>
      <c r="N284" s="0" t="s">
        <v>3</v>
      </c>
    </row>
    <row r="285" customFormat="false" ht="15" hidden="false" customHeight="false" outlineLevel="0" collapsed="false">
      <c r="A285" s="11" t="n">
        <v>12</v>
      </c>
      <c r="B285" s="11" t="s">
        <v>99</v>
      </c>
      <c r="C285" s="11" t="s">
        <v>100</v>
      </c>
      <c r="D285" s="11" t="s">
        <v>463</v>
      </c>
      <c r="E285" s="14" t="n">
        <v>0.0427546296296296</v>
      </c>
      <c r="F285" s="11" t="n">
        <v>220</v>
      </c>
      <c r="G285" s="11" t="n">
        <v>200</v>
      </c>
      <c r="H285" s="11" t="n">
        <v>10.87</v>
      </c>
      <c r="I285" s="11" t="s">
        <v>129</v>
      </c>
      <c r="J285" s="11" t="s">
        <v>218</v>
      </c>
      <c r="K285" s="13" t="n">
        <v>45961</v>
      </c>
      <c r="L285" s="11" t="n">
        <v>40</v>
      </c>
      <c r="M285" s="0" t="str">
        <f aca="false">CONCATENATE(B285," ",C285)</f>
        <v>Jemma Williams</v>
      </c>
      <c r="N285" s="0" t="s">
        <v>3</v>
      </c>
    </row>
    <row r="286" customFormat="false" ht="15" hidden="false" customHeight="false" outlineLevel="0" collapsed="false">
      <c r="A286" s="11" t="n">
        <v>13</v>
      </c>
      <c r="B286" s="11" t="s">
        <v>89</v>
      </c>
      <c r="C286" s="11" t="s">
        <v>90</v>
      </c>
      <c r="D286" s="11" t="s">
        <v>464</v>
      </c>
      <c r="E286" s="12" t="n">
        <v>2.4375</v>
      </c>
      <c r="F286" s="11" t="n">
        <v>190</v>
      </c>
      <c r="G286" s="11" t="n">
        <v>190</v>
      </c>
      <c r="H286" s="11" t="n">
        <v>9.44</v>
      </c>
      <c r="I286" s="11" t="s">
        <v>121</v>
      </c>
      <c r="J286" s="11" t="s">
        <v>141</v>
      </c>
      <c r="K286" s="13" t="n">
        <v>45965</v>
      </c>
      <c r="L286" s="11" t="n">
        <v>21</v>
      </c>
      <c r="M286" s="0" t="str">
        <f aca="false">CONCATENATE(B286," ",C286)</f>
        <v>Shaun Swallow</v>
      </c>
      <c r="N286" s="0" t="s">
        <v>3</v>
      </c>
    </row>
    <row r="287" customFormat="false" ht="15" hidden="false" customHeight="false" outlineLevel="0" collapsed="false">
      <c r="A287" s="11" t="n">
        <v>14</v>
      </c>
      <c r="B287" s="11" t="s">
        <v>127</v>
      </c>
      <c r="C287" s="11" t="s">
        <v>128</v>
      </c>
      <c r="D287" s="11" t="s">
        <v>463</v>
      </c>
      <c r="E287" s="14" t="n">
        <v>0.0436342592592593</v>
      </c>
      <c r="F287" s="11" t="n">
        <v>220</v>
      </c>
      <c r="G287" s="11" t="n">
        <v>190</v>
      </c>
      <c r="H287" s="11" t="n">
        <v>11</v>
      </c>
      <c r="I287" s="11" t="s">
        <v>180</v>
      </c>
      <c r="J287" s="11" t="s">
        <v>130</v>
      </c>
      <c r="K287" s="13" t="n">
        <v>45975</v>
      </c>
      <c r="L287" s="11" t="n">
        <v>39</v>
      </c>
      <c r="M287" s="0" t="str">
        <f aca="false">CONCATENATE(B287," ",C287)</f>
        <v>Gemma Nutton</v>
      </c>
      <c r="N287" s="0" t="s">
        <v>3</v>
      </c>
    </row>
    <row r="288" customFormat="false" ht="15" hidden="false" customHeight="false" outlineLevel="0" collapsed="false">
      <c r="A288" s="11" t="n">
        <v>15</v>
      </c>
      <c r="B288" s="11" t="s">
        <v>89</v>
      </c>
      <c r="C288" s="11" t="s">
        <v>90</v>
      </c>
      <c r="D288" s="11" t="s">
        <v>465</v>
      </c>
      <c r="E288" s="12" t="n">
        <v>2.20972222222222</v>
      </c>
      <c r="F288" s="11" t="n">
        <v>180</v>
      </c>
      <c r="G288" s="11" t="n">
        <v>180</v>
      </c>
      <c r="H288" s="11" t="n">
        <v>9.14</v>
      </c>
      <c r="I288" s="11" t="s">
        <v>133</v>
      </c>
      <c r="J288" s="11" t="s">
        <v>143</v>
      </c>
      <c r="K288" s="13" t="n">
        <v>45953</v>
      </c>
      <c r="L288" s="11" t="n">
        <v>18</v>
      </c>
      <c r="M288" s="0" t="str">
        <f aca="false">CONCATENATE(B288," ",C288)</f>
        <v>Shaun Swallow</v>
      </c>
      <c r="N288" s="0" t="s">
        <v>3</v>
      </c>
    </row>
    <row r="289" customFormat="false" ht="15" hidden="false" customHeight="false" outlineLevel="0" collapsed="false">
      <c r="A289" s="11" t="n">
        <v>16</v>
      </c>
      <c r="B289" s="11" t="s">
        <v>119</v>
      </c>
      <c r="C289" s="11" t="s">
        <v>120</v>
      </c>
      <c r="D289" s="11" t="s">
        <v>466</v>
      </c>
      <c r="E289" s="14" t="n">
        <v>0.0435532407407407</v>
      </c>
      <c r="F289" s="11" t="n">
        <v>210</v>
      </c>
      <c r="G289" s="11" t="n">
        <v>180</v>
      </c>
      <c r="H289" s="11" t="n">
        <v>10.49</v>
      </c>
      <c r="I289" s="11" t="s">
        <v>138</v>
      </c>
      <c r="J289" s="11" t="s">
        <v>122</v>
      </c>
      <c r="K289" s="13" t="n">
        <v>45952</v>
      </c>
      <c r="L289" s="11" t="n">
        <v>23</v>
      </c>
      <c r="M289" s="0" t="str">
        <f aca="false">CONCATENATE(B289," ",C289)</f>
        <v>Steve Dickinson</v>
      </c>
      <c r="N289" s="0" t="s">
        <v>3</v>
      </c>
    </row>
    <row r="290" customFormat="false" ht="15" hidden="false" customHeight="false" outlineLevel="0" collapsed="false">
      <c r="A290" s="11" t="n">
        <v>17</v>
      </c>
      <c r="B290" s="11" t="s">
        <v>135</v>
      </c>
      <c r="C290" s="11" t="s">
        <v>136</v>
      </c>
      <c r="D290" s="11" t="s">
        <v>467</v>
      </c>
      <c r="E290" s="14" t="n">
        <v>0.0438425925925926</v>
      </c>
      <c r="F290" s="11" t="n">
        <v>210</v>
      </c>
      <c r="G290" s="11" t="n">
        <v>170</v>
      </c>
      <c r="H290" s="11" t="n">
        <v>10.49</v>
      </c>
      <c r="I290" s="11" t="s">
        <v>140</v>
      </c>
      <c r="J290" s="11" t="s">
        <v>139</v>
      </c>
      <c r="K290" s="13" t="n">
        <v>45952</v>
      </c>
      <c r="L290" s="11" t="n">
        <v>4</v>
      </c>
      <c r="M290" s="0" t="str">
        <f aca="false">CONCATENATE(B290," ",C290)</f>
        <v>Alan Knox</v>
      </c>
      <c r="N290" s="0" t="s">
        <v>3</v>
      </c>
    </row>
    <row r="291" customFormat="false" ht="15" hidden="false" customHeight="false" outlineLevel="0" collapsed="false">
      <c r="A291" s="11" t="n">
        <v>18</v>
      </c>
      <c r="B291" s="11" t="s">
        <v>378</v>
      </c>
      <c r="C291" s="11" t="s">
        <v>379</v>
      </c>
      <c r="D291" s="11" t="s">
        <v>468</v>
      </c>
      <c r="E291" s="12" t="n">
        <v>2.10486111111111</v>
      </c>
      <c r="F291" s="11" t="n">
        <v>150</v>
      </c>
      <c r="G291" s="11" t="n">
        <v>150</v>
      </c>
      <c r="H291" s="11" t="n">
        <v>7.11</v>
      </c>
      <c r="I291" s="11" t="s">
        <v>188</v>
      </c>
      <c r="J291" s="11" t="s">
        <v>126</v>
      </c>
      <c r="K291" s="13" t="n">
        <v>45959</v>
      </c>
      <c r="L291" s="11" t="n">
        <v>14</v>
      </c>
      <c r="M291" s="0" t="str">
        <f aca="false">CONCATENATE(B291," ",C291)</f>
        <v>Andrea Henson</v>
      </c>
      <c r="N291" s="0" t="s">
        <v>3</v>
      </c>
    </row>
    <row r="292" customFormat="false" ht="15" hidden="false" customHeight="false" outlineLevel="0" collapsed="false">
      <c r="A292" s="11" t="n">
        <v>19</v>
      </c>
      <c r="B292" s="11" t="s">
        <v>190</v>
      </c>
      <c r="C292" s="11" t="s">
        <v>191</v>
      </c>
      <c r="D292" s="11" t="s">
        <v>468</v>
      </c>
      <c r="E292" s="12" t="n">
        <v>2.10625</v>
      </c>
      <c r="F292" s="11" t="n">
        <v>150</v>
      </c>
      <c r="G292" s="11" t="n">
        <v>150</v>
      </c>
      <c r="H292" s="11" t="n">
        <v>7.06</v>
      </c>
      <c r="I292" s="11" t="s">
        <v>142</v>
      </c>
      <c r="J292" s="11" t="s">
        <v>158</v>
      </c>
      <c r="K292" s="13" t="n">
        <v>45959</v>
      </c>
      <c r="L292" s="11" t="n">
        <v>31</v>
      </c>
      <c r="M292" s="0" t="str">
        <f aca="false">CONCATENATE(B292," ",C292)</f>
        <v>Stu Smith</v>
      </c>
      <c r="N292" s="0" t="s">
        <v>3</v>
      </c>
    </row>
    <row r="293" customFormat="false" ht="15" hidden="false" customHeight="false" outlineLevel="0" collapsed="false">
      <c r="A293" s="11" t="n">
        <v>20</v>
      </c>
      <c r="B293" s="11" t="s">
        <v>383</v>
      </c>
      <c r="C293" s="11" t="s">
        <v>384</v>
      </c>
      <c r="D293" s="11" t="s">
        <v>468</v>
      </c>
      <c r="E293" s="12" t="n">
        <v>2.10833333333333</v>
      </c>
      <c r="F293" s="11" t="n">
        <v>150</v>
      </c>
      <c r="G293" s="11" t="n">
        <v>150</v>
      </c>
      <c r="H293" s="11" t="n">
        <v>7.23</v>
      </c>
      <c r="I293" s="11" t="s">
        <v>211</v>
      </c>
      <c r="J293" s="11" t="s">
        <v>386</v>
      </c>
      <c r="K293" s="13" t="n">
        <v>45959</v>
      </c>
      <c r="L293" s="11" t="n">
        <v>29</v>
      </c>
      <c r="M293" s="0" t="str">
        <f aca="false">CONCATENATE(B293," ",C293)</f>
        <v>Heather Lindley</v>
      </c>
      <c r="N293" s="0" t="s">
        <v>3</v>
      </c>
    </row>
    <row r="294" customFormat="false" ht="15" hidden="false" customHeight="false" outlineLevel="0" collapsed="false">
      <c r="A294" s="11" t="n">
        <v>21</v>
      </c>
      <c r="B294" s="11" t="s">
        <v>169</v>
      </c>
      <c r="C294" s="11" t="s">
        <v>170</v>
      </c>
      <c r="D294" s="11" t="s">
        <v>469</v>
      </c>
      <c r="E294" s="12" t="n">
        <v>2.28472222222222</v>
      </c>
      <c r="F294" s="11" t="n">
        <v>140</v>
      </c>
      <c r="G294" s="11" t="n">
        <v>140</v>
      </c>
      <c r="H294" s="11" t="n">
        <v>7.35</v>
      </c>
      <c r="I294" s="11" t="s">
        <v>144</v>
      </c>
      <c r="J294" s="11" t="s">
        <v>173</v>
      </c>
      <c r="K294" s="13" t="n">
        <v>45959</v>
      </c>
      <c r="L294" s="11" t="n">
        <v>12</v>
      </c>
      <c r="M294" s="0" t="str">
        <f aca="false">CONCATENATE(B294," ",C294)</f>
        <v>Nick Whittingham</v>
      </c>
      <c r="N294" s="0" t="s">
        <v>3</v>
      </c>
    </row>
    <row r="295" customFormat="false" ht="15" hidden="false" customHeight="false" outlineLevel="0" collapsed="false">
      <c r="A295" s="11" t="n">
        <v>22</v>
      </c>
      <c r="B295" s="11" t="s">
        <v>190</v>
      </c>
      <c r="C295" s="11" t="s">
        <v>191</v>
      </c>
      <c r="D295" s="11" t="s">
        <v>468</v>
      </c>
      <c r="E295" s="14" t="n">
        <v>0.042025462962963</v>
      </c>
      <c r="F295" s="11" t="n">
        <v>150</v>
      </c>
      <c r="G295" s="11" t="n">
        <v>140</v>
      </c>
      <c r="H295" s="11" t="n">
        <v>7.42</v>
      </c>
      <c r="I295" s="11" t="s">
        <v>149</v>
      </c>
      <c r="J295" s="11" t="s">
        <v>176</v>
      </c>
      <c r="K295" s="13" t="n">
        <v>45958</v>
      </c>
      <c r="L295" s="11" t="n">
        <v>3</v>
      </c>
      <c r="M295" s="0" t="str">
        <f aca="false">CONCATENATE(B295," ",C295)</f>
        <v>Stu Smith</v>
      </c>
      <c r="N295" s="0" t="s">
        <v>3</v>
      </c>
    </row>
    <row r="296" customFormat="false" ht="15" hidden="false" customHeight="false" outlineLevel="0" collapsed="false">
      <c r="A296" s="11" t="n">
        <v>23</v>
      </c>
      <c r="B296" s="11" t="s">
        <v>470</v>
      </c>
      <c r="C296" s="11" t="s">
        <v>471</v>
      </c>
      <c r="D296" s="11" t="s">
        <v>472</v>
      </c>
      <c r="E296" s="12" t="n">
        <v>2.14583333333333</v>
      </c>
      <c r="F296" s="11" t="n">
        <v>130</v>
      </c>
      <c r="G296" s="11" t="n">
        <v>130</v>
      </c>
      <c r="H296" s="11" t="n">
        <v>7.01</v>
      </c>
      <c r="I296" s="11" t="s">
        <v>213</v>
      </c>
      <c r="J296" s="11" t="s">
        <v>392</v>
      </c>
      <c r="K296" s="13" t="n">
        <v>45984</v>
      </c>
      <c r="L296" s="11" t="n">
        <v>38</v>
      </c>
      <c r="M296" s="0" t="str">
        <f aca="false">CONCATENATE(B296," ",C296)</f>
        <v>Susan Charlesworth</v>
      </c>
      <c r="N296" s="0" t="s">
        <v>3</v>
      </c>
    </row>
    <row r="297" customFormat="false" ht="15" hidden="false" customHeight="false" outlineLevel="0" collapsed="false">
      <c r="A297" s="11" t="n">
        <v>24</v>
      </c>
      <c r="B297" s="11" t="s">
        <v>194</v>
      </c>
      <c r="C297" s="11" t="s">
        <v>119</v>
      </c>
      <c r="D297" s="11" t="s">
        <v>468</v>
      </c>
      <c r="E297" s="14" t="n">
        <v>0.0427083333333333</v>
      </c>
      <c r="F297" s="11" t="n">
        <v>150</v>
      </c>
      <c r="G297" s="11" t="n">
        <v>130</v>
      </c>
      <c r="H297" s="11" t="n">
        <v>8.66</v>
      </c>
      <c r="I297" s="11" t="s">
        <v>151</v>
      </c>
      <c r="J297" s="11" t="s">
        <v>152</v>
      </c>
      <c r="K297" s="13" t="n">
        <v>45958</v>
      </c>
      <c r="L297" s="11" t="n">
        <v>22</v>
      </c>
      <c r="M297" s="0" t="str">
        <f aca="false">CONCATENATE(B297," ",C297)</f>
        <v>Dommett Steve</v>
      </c>
      <c r="N297" s="0" t="s">
        <v>3</v>
      </c>
    </row>
    <row r="298" customFormat="false" ht="15" hidden="false" customHeight="false" outlineLevel="0" collapsed="false">
      <c r="A298" s="11" t="n">
        <v>25</v>
      </c>
      <c r="B298" s="11" t="s">
        <v>197</v>
      </c>
      <c r="C298" s="11" t="s">
        <v>198</v>
      </c>
      <c r="D298" s="11" t="s">
        <v>473</v>
      </c>
      <c r="E298" s="12" t="n">
        <v>2.27569444444444</v>
      </c>
      <c r="F298" s="11" t="n">
        <v>120</v>
      </c>
      <c r="G298" s="11" t="n">
        <v>120</v>
      </c>
      <c r="H298" s="11" t="n">
        <v>6.12</v>
      </c>
      <c r="I298" s="11" t="s">
        <v>154</v>
      </c>
      <c r="J298" s="11" t="s">
        <v>200</v>
      </c>
      <c r="K298" s="13" t="n">
        <v>45960</v>
      </c>
      <c r="L298" s="11" t="n">
        <v>11</v>
      </c>
      <c r="M298" s="0" t="str">
        <f aca="false">CONCATENATE(B298," ",C298)</f>
        <v>Raymond Brown</v>
      </c>
      <c r="N298" s="0" t="s">
        <v>3</v>
      </c>
    </row>
    <row r="299" customFormat="false" ht="15" hidden="false" customHeight="false" outlineLevel="0" collapsed="false">
      <c r="A299" s="11" t="n">
        <v>26</v>
      </c>
      <c r="B299" s="11" t="s">
        <v>123</v>
      </c>
      <c r="C299" s="11" t="s">
        <v>291</v>
      </c>
      <c r="D299" s="11" t="s">
        <v>474</v>
      </c>
      <c r="E299" s="12" t="n">
        <v>1.99305555555556</v>
      </c>
      <c r="F299" s="11" t="n">
        <v>110</v>
      </c>
      <c r="G299" s="11" t="n">
        <v>110</v>
      </c>
      <c r="H299" s="11" t="n">
        <v>5.69</v>
      </c>
      <c r="I299" s="11" t="s">
        <v>215</v>
      </c>
      <c r="J299" s="11" t="s">
        <v>292</v>
      </c>
      <c r="K299" s="13" t="n">
        <v>45982</v>
      </c>
      <c r="L299" s="11" t="n">
        <v>36</v>
      </c>
      <c r="M299" s="0" t="str">
        <f aca="false">CONCATENATE(B299," ",C299)</f>
        <v>Jill Davis</v>
      </c>
      <c r="N299" s="0" t="s">
        <v>3</v>
      </c>
    </row>
    <row r="300" customFormat="false" ht="15" hidden="false" customHeight="false" outlineLevel="0" collapsed="false">
      <c r="A300" s="11" t="n">
        <v>27</v>
      </c>
      <c r="B300" s="11" t="s">
        <v>169</v>
      </c>
      <c r="C300" s="11" t="s">
        <v>170</v>
      </c>
      <c r="D300" s="11" t="s">
        <v>475</v>
      </c>
      <c r="E300" s="12" t="n">
        <v>2</v>
      </c>
      <c r="F300" s="11" t="n">
        <v>110</v>
      </c>
      <c r="G300" s="11" t="n">
        <v>110</v>
      </c>
      <c r="H300" s="11" t="n">
        <v>5.47</v>
      </c>
      <c r="I300" s="11" t="s">
        <v>157</v>
      </c>
      <c r="J300" s="11" t="s">
        <v>193</v>
      </c>
      <c r="K300" s="13" t="n">
        <v>45944</v>
      </c>
      <c r="L300" s="11" t="n">
        <v>27</v>
      </c>
      <c r="M300" s="0" t="str">
        <f aca="false">CONCATENATE(B300," ",C300)</f>
        <v>Nick Whittingham</v>
      </c>
      <c r="N300" s="0" t="s">
        <v>3</v>
      </c>
    </row>
    <row r="301" customFormat="false" ht="15" hidden="false" customHeight="false" outlineLevel="0" collapsed="false">
      <c r="A301" s="11" t="n">
        <v>28</v>
      </c>
      <c r="B301" s="11" t="s">
        <v>470</v>
      </c>
      <c r="C301" s="11" t="s">
        <v>471</v>
      </c>
      <c r="D301" s="11" t="s">
        <v>474</v>
      </c>
      <c r="E301" s="12" t="n">
        <v>2.27916666666667</v>
      </c>
      <c r="F301" s="11" t="n">
        <v>110</v>
      </c>
      <c r="G301" s="11" t="n">
        <v>110</v>
      </c>
      <c r="H301" s="11" t="n">
        <v>7.25</v>
      </c>
      <c r="I301" s="11" t="s">
        <v>217</v>
      </c>
      <c r="J301" s="11" t="s">
        <v>393</v>
      </c>
      <c r="K301" s="13" t="n">
        <v>45982</v>
      </c>
      <c r="L301" s="11" t="n">
        <v>10</v>
      </c>
      <c r="M301" s="0" t="str">
        <f aca="false">CONCATENATE(B301," ",C301)</f>
        <v>Susan Charlesworth</v>
      </c>
      <c r="N301" s="0" t="s">
        <v>3</v>
      </c>
    </row>
    <row r="302" customFormat="false" ht="15" hidden="false" customHeight="false" outlineLevel="0" collapsed="false">
      <c r="A302" s="11" t="n">
        <v>29</v>
      </c>
      <c r="B302" s="11" t="s">
        <v>383</v>
      </c>
      <c r="C302" s="11" t="s">
        <v>384</v>
      </c>
      <c r="D302" s="11" t="s">
        <v>476</v>
      </c>
      <c r="E302" s="12" t="n">
        <v>1.67638888888889</v>
      </c>
      <c r="F302" s="11" t="n">
        <v>100</v>
      </c>
      <c r="G302" s="11" t="n">
        <v>100</v>
      </c>
      <c r="H302" s="11" t="n">
        <v>5.24</v>
      </c>
      <c r="I302" s="11" t="s">
        <v>235</v>
      </c>
      <c r="J302" s="11" t="s">
        <v>477</v>
      </c>
      <c r="K302" s="13" t="n">
        <v>45952</v>
      </c>
      <c r="L302" s="11" t="n">
        <v>9</v>
      </c>
      <c r="M302" s="0" t="str">
        <f aca="false">CONCATENATE(B302," ",C302)</f>
        <v>Heather Lindley</v>
      </c>
      <c r="N302" s="0" t="s">
        <v>3</v>
      </c>
    </row>
    <row r="303" customFormat="false" ht="15" hidden="false" customHeight="false" outlineLevel="0" collapsed="false">
      <c r="A303" s="11" t="n">
        <v>30</v>
      </c>
      <c r="B303" s="11" t="s">
        <v>190</v>
      </c>
      <c r="C303" s="11" t="s">
        <v>191</v>
      </c>
      <c r="D303" s="11" t="s">
        <v>476</v>
      </c>
      <c r="E303" s="12" t="n">
        <v>1.67986111111111</v>
      </c>
      <c r="F303" s="11" t="n">
        <v>100</v>
      </c>
      <c r="G303" s="11" t="n">
        <v>100</v>
      </c>
      <c r="H303" s="11" t="n">
        <v>5.22</v>
      </c>
      <c r="I303" s="11" t="s">
        <v>160</v>
      </c>
      <c r="J303" s="11" t="s">
        <v>206</v>
      </c>
      <c r="K303" s="13" t="n">
        <v>45952</v>
      </c>
      <c r="L303" s="11" t="n">
        <v>32</v>
      </c>
      <c r="M303" s="0" t="str">
        <f aca="false">CONCATENATE(B303," ",C303)</f>
        <v>Stu Smith</v>
      </c>
      <c r="N303" s="0" t="s">
        <v>3</v>
      </c>
    </row>
    <row r="304" customFormat="false" ht="15" hidden="false" customHeight="false" outlineLevel="0" collapsed="false">
      <c r="A304" s="11" t="n">
        <v>31</v>
      </c>
      <c r="B304" s="11" t="s">
        <v>372</v>
      </c>
      <c r="C304" s="11" t="s">
        <v>373</v>
      </c>
      <c r="D304" s="11" t="s">
        <v>476</v>
      </c>
      <c r="E304" s="12" t="n">
        <v>1.69444444444444</v>
      </c>
      <c r="F304" s="11" t="n">
        <v>100</v>
      </c>
      <c r="G304" s="11" t="n">
        <v>100</v>
      </c>
      <c r="H304" s="11" t="n">
        <v>5.64</v>
      </c>
      <c r="I304" s="11" t="s">
        <v>237</v>
      </c>
      <c r="J304" s="11" t="s">
        <v>375</v>
      </c>
      <c r="K304" s="13" t="n">
        <v>45952</v>
      </c>
      <c r="L304" s="11" t="n">
        <v>24</v>
      </c>
      <c r="M304" s="0" t="str">
        <f aca="false">CONCATENATE(B304," ",C304)</f>
        <v>Sue Hall</v>
      </c>
      <c r="N304" s="0" t="s">
        <v>3</v>
      </c>
    </row>
    <row r="305" customFormat="false" ht="15" hidden="false" customHeight="false" outlineLevel="0" collapsed="false">
      <c r="A305" s="11" t="n">
        <v>32</v>
      </c>
      <c r="B305" s="11" t="s">
        <v>378</v>
      </c>
      <c r="C305" s="11" t="s">
        <v>379</v>
      </c>
      <c r="D305" s="11" t="s">
        <v>476</v>
      </c>
      <c r="E305" s="12" t="n">
        <v>1.69791666666667</v>
      </c>
      <c r="F305" s="11" t="n">
        <v>100</v>
      </c>
      <c r="G305" s="11" t="n">
        <v>100</v>
      </c>
      <c r="H305" s="11" t="n">
        <v>5.34</v>
      </c>
      <c r="I305" s="11" t="s">
        <v>242</v>
      </c>
      <c r="J305" s="11" t="s">
        <v>181</v>
      </c>
      <c r="K305" s="13" t="n">
        <v>45952</v>
      </c>
      <c r="L305" s="11" t="n">
        <v>2</v>
      </c>
      <c r="M305" s="0" t="str">
        <f aca="false">CONCATENATE(B305," ",C305)</f>
        <v>Andrea Henson</v>
      </c>
      <c r="N305" s="0" t="s">
        <v>3</v>
      </c>
    </row>
    <row r="306" customFormat="false" ht="15" hidden="false" customHeight="false" outlineLevel="0" collapsed="false">
      <c r="A306" s="11" t="n">
        <v>33</v>
      </c>
      <c r="B306" s="11" t="s">
        <v>123</v>
      </c>
      <c r="C306" s="11" t="s">
        <v>478</v>
      </c>
      <c r="D306" s="11" t="s">
        <v>479</v>
      </c>
      <c r="E306" s="12" t="n">
        <v>1.99305555555556</v>
      </c>
      <c r="F306" s="11" t="n">
        <v>90</v>
      </c>
      <c r="G306" s="11" t="n">
        <v>90</v>
      </c>
      <c r="H306" s="11" t="n">
        <v>5.69</v>
      </c>
      <c r="I306" s="11" t="s">
        <v>247</v>
      </c>
      <c r="J306" s="11" t="s">
        <v>480</v>
      </c>
      <c r="K306" s="13" t="n">
        <v>45982</v>
      </c>
      <c r="L306" s="11" t="n">
        <v>30</v>
      </c>
      <c r="M306" s="0" t="str">
        <f aca="false">CONCATENATE(B306," ",C306)</f>
        <v>Jill Davis (Rev30)</v>
      </c>
      <c r="N306" s="0" t="s">
        <v>3</v>
      </c>
    </row>
    <row r="307" customFormat="false" ht="15" hidden="false" customHeight="false" outlineLevel="0" collapsed="false">
      <c r="A307" s="11" t="n">
        <v>34</v>
      </c>
      <c r="B307" s="11" t="s">
        <v>127</v>
      </c>
      <c r="C307" s="11" t="s">
        <v>128</v>
      </c>
      <c r="D307" s="11" t="s">
        <v>481</v>
      </c>
      <c r="E307" s="15" t="n">
        <v>0.635416666666667</v>
      </c>
      <c r="F307" s="11" t="n">
        <v>10</v>
      </c>
      <c r="G307" s="11" t="n">
        <v>10</v>
      </c>
      <c r="H307" s="11" t="n">
        <v>2.12</v>
      </c>
      <c r="I307" s="11" t="s">
        <v>309</v>
      </c>
      <c r="J307" s="11" t="s">
        <v>214</v>
      </c>
      <c r="K307" s="13" t="n">
        <v>45966</v>
      </c>
      <c r="L307" s="11" t="n">
        <v>5</v>
      </c>
      <c r="M307" s="0" t="str">
        <f aca="false">CONCATENATE(B307," ",C307)</f>
        <v>Gemma Nutton</v>
      </c>
      <c r="N307" s="0" t="s">
        <v>3</v>
      </c>
    </row>
    <row r="308" customFormat="false" ht="15" hidden="false" customHeight="false" outlineLevel="0" collapsed="false">
      <c r="A308" s="11" t="n">
        <v>35</v>
      </c>
      <c r="B308" s="11" t="s">
        <v>123</v>
      </c>
      <c r="C308" s="11" t="s">
        <v>124</v>
      </c>
      <c r="D308" s="11" t="s">
        <v>482</v>
      </c>
      <c r="E308" s="14" t="n">
        <v>0.0453587962962963</v>
      </c>
      <c r="F308" s="11" t="n">
        <v>70</v>
      </c>
      <c r="G308" s="11" t="n">
        <v>10</v>
      </c>
      <c r="H308" s="11" t="n">
        <v>4.96</v>
      </c>
      <c r="I308" s="11" t="s">
        <v>312</v>
      </c>
      <c r="J308" s="11" t="s">
        <v>212</v>
      </c>
      <c r="K308" s="13" t="n">
        <v>45931</v>
      </c>
      <c r="L308" s="11" t="n">
        <v>16</v>
      </c>
      <c r="M308" s="0" t="str">
        <f aca="false">CONCATENATE(B308," ",C308)</f>
        <v>Jill Scrivens</v>
      </c>
      <c r="N308" s="0" t="s">
        <v>3</v>
      </c>
    </row>
    <row r="309" customFormat="false" ht="15" hidden="false" customHeight="false" outlineLevel="0" collapsed="false">
      <c r="A309" s="11" t="n">
        <v>36</v>
      </c>
      <c r="B309" s="11" t="s">
        <v>89</v>
      </c>
      <c r="C309" s="11" t="s">
        <v>90</v>
      </c>
      <c r="D309" s="11" t="s">
        <v>483</v>
      </c>
      <c r="E309" s="14" t="n">
        <v>0.0513657407407407</v>
      </c>
      <c r="F309" s="11" t="n">
        <v>150</v>
      </c>
      <c r="G309" s="11" t="n">
        <v>10</v>
      </c>
      <c r="H309" s="11" t="n">
        <v>10.57</v>
      </c>
      <c r="I309" s="11" t="s">
        <v>164</v>
      </c>
      <c r="J309" s="11" t="s">
        <v>155</v>
      </c>
      <c r="K309" s="13" t="n">
        <v>45937</v>
      </c>
      <c r="L309" s="11" t="n">
        <v>34</v>
      </c>
      <c r="M309" s="0" t="str">
        <f aca="false">CONCATENATE(B309," ",C309)</f>
        <v>Shaun Swallow</v>
      </c>
      <c r="N309" s="0" t="s">
        <v>3</v>
      </c>
    </row>
    <row r="310" customFormat="false" ht="15" hidden="false" customHeight="false" outlineLevel="0" collapsed="false">
      <c r="A310" s="11" t="n">
        <v>37</v>
      </c>
      <c r="B310" s="11" t="s">
        <v>127</v>
      </c>
      <c r="C310" s="11" t="s">
        <v>128</v>
      </c>
      <c r="D310" s="11" t="s">
        <v>482</v>
      </c>
      <c r="E310" s="14" t="n">
        <v>0.0461226851851852</v>
      </c>
      <c r="F310" s="11" t="n">
        <v>70</v>
      </c>
      <c r="G310" s="11" t="n">
        <v>0</v>
      </c>
      <c r="H310" s="11" t="n">
        <v>5.28</v>
      </c>
      <c r="I310" s="11" t="s">
        <v>317</v>
      </c>
      <c r="J310" s="11" t="s">
        <v>236</v>
      </c>
      <c r="K310" s="13" t="n">
        <v>45931</v>
      </c>
      <c r="L310" s="11" t="n">
        <v>28</v>
      </c>
      <c r="M310" s="0" t="str">
        <f aca="false">CONCATENATE(B310," ",C310)</f>
        <v>Gemma Nutton</v>
      </c>
      <c r="N310" s="0" t="s">
        <v>3</v>
      </c>
    </row>
    <row r="311" customFormat="false" ht="15" hidden="false" customHeight="false" outlineLevel="0" collapsed="false">
      <c r="A311" s="11" t="n">
        <v>38</v>
      </c>
      <c r="B311" s="11" t="s">
        <v>127</v>
      </c>
      <c r="C311" s="11" t="s">
        <v>128</v>
      </c>
      <c r="D311" s="11" t="s">
        <v>484</v>
      </c>
      <c r="E311" s="14" t="n">
        <v>0.0671527777777778</v>
      </c>
      <c r="F311" s="11" t="n">
        <v>140</v>
      </c>
      <c r="G311" s="11" t="n">
        <v>-230</v>
      </c>
      <c r="H311" s="11" t="n">
        <v>12.22</v>
      </c>
      <c r="I311" s="11" t="s">
        <v>314</v>
      </c>
      <c r="J311" s="11" t="s">
        <v>332</v>
      </c>
      <c r="K311" s="13" t="n">
        <v>45966</v>
      </c>
      <c r="L311" s="11" t="n">
        <v>17</v>
      </c>
      <c r="M311" s="0" t="str">
        <f aca="false">CONCATENATE(B311," ",C311)</f>
        <v>Gemma Nutton</v>
      </c>
      <c r="N311" s="0" t="s">
        <v>3</v>
      </c>
    </row>
    <row r="312" customFormat="false" ht="15" hidden="false" customHeight="false" outlineLevel="0" collapsed="false">
      <c r="A312" s="11" t="n">
        <v>39</v>
      </c>
      <c r="B312" s="11" t="s">
        <v>123</v>
      </c>
      <c r="C312" s="11" t="s">
        <v>124</v>
      </c>
      <c r="D312" s="11" t="s">
        <v>484</v>
      </c>
      <c r="E312" s="14" t="n">
        <v>0.0672453703703704</v>
      </c>
      <c r="F312" s="11" t="n">
        <v>140</v>
      </c>
      <c r="G312" s="11" t="n">
        <v>-230</v>
      </c>
      <c r="H312" s="11" t="n">
        <v>11.66</v>
      </c>
      <c r="I312" s="11" t="s">
        <v>325</v>
      </c>
      <c r="J312" s="11" t="s">
        <v>216</v>
      </c>
      <c r="K312" s="13" t="n">
        <v>45966</v>
      </c>
      <c r="L312" s="11" t="n">
        <v>37</v>
      </c>
      <c r="M312" s="0" t="str">
        <f aca="false">CONCATENATE(B312," ",C312)</f>
        <v>Jill Scrivens</v>
      </c>
      <c r="N312" s="0" t="s">
        <v>3</v>
      </c>
    </row>
    <row r="313" customFormat="false" ht="15" hidden="false" customHeight="false" outlineLevel="0" collapsed="false">
      <c r="A313" s="11" t="n">
        <v>40</v>
      </c>
      <c r="B313" s="11" t="s">
        <v>103</v>
      </c>
      <c r="C313" s="11" t="s">
        <v>104</v>
      </c>
      <c r="D313" s="11" t="s">
        <v>485</v>
      </c>
      <c r="E313" s="14" t="n">
        <v>0.0744675925925926</v>
      </c>
      <c r="F313" s="11" t="n">
        <v>220</v>
      </c>
      <c r="G313" s="11" t="n">
        <v>-260</v>
      </c>
      <c r="H313" s="11" t="n">
        <v>14.18</v>
      </c>
      <c r="I313" s="11" t="s">
        <v>167</v>
      </c>
      <c r="J313" s="11" t="s">
        <v>145</v>
      </c>
      <c r="K313" s="13" t="n">
        <v>45948</v>
      </c>
      <c r="L313" s="11" t="n">
        <v>15</v>
      </c>
      <c r="M313" s="0" t="str">
        <f aca="false">CONCATENATE(B313," ",C313)</f>
        <v>Chris Baldwin</v>
      </c>
      <c r="N313" s="0" t="s">
        <v>3</v>
      </c>
    </row>
    <row r="314" customFormat="false" ht="15" hidden="false" customHeight="false" outlineLevel="0" collapsed="false">
      <c r="A314" s="11" t="n">
        <v>41</v>
      </c>
      <c r="B314" s="11" t="s">
        <v>99</v>
      </c>
      <c r="C314" s="11" t="s">
        <v>100</v>
      </c>
      <c r="D314" s="11" t="s">
        <v>486</v>
      </c>
      <c r="E314" s="14" t="n">
        <v>0.0805902777777778</v>
      </c>
      <c r="F314" s="11" t="n">
        <v>250</v>
      </c>
      <c r="G314" s="11" t="n">
        <v>-320</v>
      </c>
      <c r="H314" s="11" t="n">
        <v>15.2</v>
      </c>
      <c r="I314" s="11" t="s">
        <v>326</v>
      </c>
      <c r="J314" s="11" t="s">
        <v>243</v>
      </c>
      <c r="K314" s="13" t="n">
        <v>45936</v>
      </c>
      <c r="L314" s="11" t="n">
        <v>8</v>
      </c>
      <c r="M314" s="0" t="str">
        <f aca="false">CONCATENATE(B314," ",C314)</f>
        <v>Jemma Williams</v>
      </c>
      <c r="N314" s="0" t="s">
        <v>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G50"/>
  <sheetViews>
    <sheetView showFormulas="false" showGridLines="true" showRowColHeaders="true" showZeros="true" rightToLeft="false" tabSelected="false" showOutlineSymbols="true" defaultGridColor="true" view="normal" topLeftCell="A19" colorId="64" zoomScale="100" zoomScaleNormal="100" zoomScalePageLayoutView="100" workbookViewId="0">
      <selection pane="topLeft" activeCell="I63" activeCellId="1" sqref="A:A I63"/>
    </sheetView>
  </sheetViews>
  <sheetFormatPr defaultColWidth="8.59765625" defaultRowHeight="15" customHeight="true" zeroHeight="false" outlineLevelRow="0" outlineLevelCol="0"/>
  <cols>
    <col collapsed="false" customWidth="true" hidden="false" outlineLevel="0" max="1" min="1" style="0" width="21.43"/>
    <col collapsed="false" customWidth="true" hidden="false" outlineLevel="0" max="2" min="2" style="0" width="16.29"/>
    <col collapsed="false" customWidth="true" hidden="false" outlineLevel="0" max="3" min="3" style="0" width="7.15"/>
    <col collapsed="false" customWidth="true" hidden="false" outlineLevel="0" max="4" min="4" style="0" width="8.14"/>
    <col collapsed="false" customWidth="true" hidden="false" outlineLevel="0" max="5" min="5" style="0" width="7.15"/>
    <col collapsed="false" customWidth="true" hidden="false" outlineLevel="0" max="6" min="6" style="0" width="8.43"/>
    <col collapsed="false" customWidth="true" hidden="false" outlineLevel="0" max="7" min="7" style="0" width="8.14"/>
    <col collapsed="false" customWidth="true" hidden="false" outlineLevel="0" max="8" min="8" style="0" width="11.28"/>
    <col collapsed="false" customWidth="true" hidden="false" outlineLevel="0" max="9" min="9" style="0" width="15"/>
    <col collapsed="false" customWidth="true" hidden="false" outlineLevel="0" max="10" min="10" style="0" width="14.86"/>
    <col collapsed="false" customWidth="true" hidden="false" outlineLevel="0" max="11" min="11" style="0" width="15.15"/>
    <col collapsed="false" customWidth="true" hidden="false" outlineLevel="0" max="12" min="12" style="0" width="12.14"/>
    <col collapsed="false" customWidth="true" hidden="false" outlineLevel="0" max="13" min="13" style="0" width="9.86"/>
    <col collapsed="false" customWidth="true" hidden="false" outlineLevel="0" max="14" min="14" style="0" width="12.29"/>
    <col collapsed="false" customWidth="true" hidden="false" outlineLevel="0" max="15" min="15" style="0" width="15.72"/>
    <col collapsed="false" customWidth="true" hidden="false" outlineLevel="0" max="16" min="16" style="0" width="10.14"/>
    <col collapsed="false" customWidth="true" hidden="false" outlineLevel="0" max="18" min="18" style="0" width="11.15"/>
    <col collapsed="false" customWidth="true" hidden="false" outlineLevel="0" max="19" min="19" style="0" width="12.86"/>
    <col collapsed="false" customWidth="true" hidden="false" outlineLevel="0" max="20" min="20" style="0" width="10.57"/>
    <col collapsed="false" customWidth="true" hidden="false" outlineLevel="0" max="21" min="21" style="0" width="13.57"/>
    <col collapsed="false" customWidth="true" hidden="false" outlineLevel="0" max="22" min="22" style="0" width="12.72"/>
    <col collapsed="false" customWidth="true" hidden="false" outlineLevel="0" max="23" min="23" style="0" width="13.57"/>
    <col collapsed="false" customWidth="true" hidden="false" outlineLevel="0" max="24" min="24" style="0" width="15.72"/>
    <col collapsed="false" customWidth="true" hidden="false" outlineLevel="0" max="25" min="25" style="0" width="13.57"/>
    <col collapsed="false" customWidth="true" hidden="false" outlineLevel="0" max="26" min="26" style="0" width="12"/>
    <col collapsed="false" customWidth="true" hidden="false" outlineLevel="0" max="27" min="27" style="0" width="16.14"/>
    <col collapsed="false" customWidth="true" hidden="false" outlineLevel="0" max="29" min="28" style="0" width="17.71"/>
    <col collapsed="false" customWidth="true" hidden="false" outlineLevel="0" max="30" min="30" style="0" width="14.57"/>
    <col collapsed="false" customWidth="true" hidden="false" outlineLevel="0" max="31" min="31" style="0" width="17.29"/>
    <col collapsed="false" customWidth="true" hidden="false" outlineLevel="0" max="32" min="32" style="0" width="10.71"/>
    <col collapsed="false" customWidth="true" hidden="false" outlineLevel="0" max="33" min="33" style="0" width="21.57"/>
    <col collapsed="false" customWidth="true" hidden="false" outlineLevel="0" max="34" min="34" style="0" width="15.57"/>
    <col collapsed="false" customWidth="true" hidden="false" outlineLevel="0" max="35" min="35" style="0" width="12.29"/>
    <col collapsed="false" customWidth="true" hidden="false" outlineLevel="0" max="36" min="36" style="0" width="18.71"/>
    <col collapsed="false" customWidth="true" hidden="false" outlineLevel="0" max="37" min="37" style="0" width="14.14"/>
    <col collapsed="false" customWidth="true" hidden="false" outlineLevel="0" max="38" min="38" style="0" width="18.14"/>
    <col collapsed="false" customWidth="true" hidden="false" outlineLevel="0" max="39" min="39" style="0" width="14.43"/>
    <col collapsed="false" customWidth="true" hidden="false" outlineLevel="0" max="40" min="40" style="0" width="11.15"/>
    <col collapsed="false" customWidth="true" hidden="false" outlineLevel="0" max="41" min="41" style="0" width="19"/>
    <col collapsed="false" customWidth="true" hidden="false" outlineLevel="0" max="42" min="42" style="0" width="15.15"/>
    <col collapsed="false" customWidth="true" hidden="false" outlineLevel="0" max="43" min="43" style="0" width="15"/>
    <col collapsed="false" customWidth="true" hidden="false" outlineLevel="0" max="44" min="44" style="0" width="9.43"/>
    <col collapsed="false" customWidth="true" hidden="false" outlineLevel="0" max="45" min="45" style="0" width="8.14"/>
    <col collapsed="false" customWidth="true" hidden="false" outlineLevel="0" max="46" min="46" style="0" width="10.71"/>
    <col collapsed="false" customWidth="true" hidden="false" outlineLevel="0" max="47" min="47" style="0" width="16.29"/>
    <col collapsed="false" customWidth="true" hidden="false" outlineLevel="0" max="48" min="48" style="0" width="11.28"/>
  </cols>
  <sheetData>
    <row r="3" customFormat="false" ht="15" hidden="false" customHeight="false" outlineLevel="0" collapsed="false">
      <c r="A3" s="16" t="s">
        <v>490</v>
      </c>
      <c r="B3" s="17" t="s">
        <v>488</v>
      </c>
      <c r="C3" s="18"/>
      <c r="D3" s="18"/>
      <c r="E3" s="18"/>
      <c r="F3" s="18"/>
      <c r="G3" s="19"/>
    </row>
    <row r="4" customFormat="false" ht="15" hidden="false" customHeight="false" outlineLevel="0" collapsed="false">
      <c r="A4" s="20" t="s">
        <v>0</v>
      </c>
      <c r="B4" s="21" t="s">
        <v>2</v>
      </c>
      <c r="C4" s="22" t="s">
        <v>4</v>
      </c>
      <c r="D4" s="22" t="s">
        <v>5</v>
      </c>
      <c r="E4" s="22" t="s">
        <v>6</v>
      </c>
      <c r="F4" s="22" t="s">
        <v>7</v>
      </c>
      <c r="G4" s="43" t="s">
        <v>8</v>
      </c>
    </row>
    <row r="5" customFormat="false" ht="15" hidden="false" customHeight="false" outlineLevel="0" collapsed="false">
      <c r="A5" s="24" t="s">
        <v>17</v>
      </c>
      <c r="B5" s="25" t="n">
        <v>140</v>
      </c>
      <c r="C5" s="26" t="n">
        <v>210</v>
      </c>
      <c r="D5" s="26" t="n">
        <v>190</v>
      </c>
      <c r="E5" s="26" t="n">
        <v>180</v>
      </c>
      <c r="F5" s="26" t="n">
        <v>180</v>
      </c>
      <c r="G5" s="44" t="n">
        <v>180</v>
      </c>
    </row>
    <row r="6" customFormat="false" ht="15" hidden="false" customHeight="false" outlineLevel="0" collapsed="false">
      <c r="A6" s="29" t="s">
        <v>28</v>
      </c>
      <c r="B6" s="30"/>
      <c r="C6" s="31"/>
      <c r="D6" s="31"/>
      <c r="E6" s="31" t="n">
        <v>120</v>
      </c>
      <c r="F6" s="31" t="n">
        <v>110</v>
      </c>
      <c r="G6" s="45" t="n">
        <v>120</v>
      </c>
    </row>
    <row r="7" customFormat="false" ht="15" hidden="false" customHeight="false" outlineLevel="0" collapsed="false">
      <c r="A7" s="29" t="s">
        <v>30</v>
      </c>
      <c r="B7" s="30"/>
      <c r="C7" s="31" t="n">
        <v>250</v>
      </c>
      <c r="D7" s="31" t="n">
        <v>250</v>
      </c>
      <c r="E7" s="31"/>
      <c r="F7" s="31" t="n">
        <v>-770</v>
      </c>
      <c r="G7" s="45"/>
    </row>
    <row r="8" customFormat="false" ht="15" hidden="false" customHeight="false" outlineLevel="0" collapsed="false">
      <c r="A8" s="29" t="s">
        <v>51</v>
      </c>
      <c r="B8" s="30"/>
      <c r="C8" s="31"/>
      <c r="D8" s="31" t="n">
        <v>40</v>
      </c>
      <c r="E8" s="31"/>
      <c r="F8" s="31"/>
      <c r="G8" s="45"/>
    </row>
    <row r="9" customFormat="false" ht="15" hidden="false" customHeight="false" outlineLevel="0" collapsed="false">
      <c r="A9" s="29" t="s">
        <v>13</v>
      </c>
      <c r="B9" s="30" t="n">
        <v>170</v>
      </c>
      <c r="C9" s="31" t="n">
        <v>250</v>
      </c>
      <c r="D9" s="31" t="n">
        <v>220</v>
      </c>
      <c r="E9" s="31" t="n">
        <v>210</v>
      </c>
      <c r="F9" s="31" t="n">
        <v>200</v>
      </c>
      <c r="G9" s="45" t="n">
        <v>200</v>
      </c>
    </row>
    <row r="10" customFormat="false" ht="15" hidden="false" customHeight="false" outlineLevel="0" collapsed="false">
      <c r="A10" s="29" t="s">
        <v>43</v>
      </c>
      <c r="B10" s="30"/>
      <c r="C10" s="31"/>
      <c r="D10" s="31" t="n">
        <v>220</v>
      </c>
      <c r="E10" s="31"/>
      <c r="F10" s="31"/>
      <c r="G10" s="45"/>
    </row>
    <row r="11" customFormat="false" ht="15" hidden="false" customHeight="false" outlineLevel="0" collapsed="false">
      <c r="A11" s="29" t="s">
        <v>16</v>
      </c>
      <c r="B11" s="30"/>
      <c r="C11" s="31" t="n">
        <v>240</v>
      </c>
      <c r="D11" s="31" t="n">
        <v>210</v>
      </c>
      <c r="E11" s="31" t="n">
        <v>200</v>
      </c>
      <c r="F11" s="31" t="n">
        <v>160</v>
      </c>
      <c r="G11" s="45" t="n">
        <v>150</v>
      </c>
    </row>
    <row r="12" customFormat="false" ht="15" hidden="false" customHeight="false" outlineLevel="0" collapsed="false">
      <c r="A12" s="29" t="s">
        <v>24</v>
      </c>
      <c r="B12" s="30" t="n">
        <v>60</v>
      </c>
      <c r="C12" s="31" t="n">
        <v>160</v>
      </c>
      <c r="D12" s="31" t="n">
        <v>130</v>
      </c>
      <c r="E12" s="31" t="n">
        <v>120</v>
      </c>
      <c r="F12" s="31" t="n">
        <v>90</v>
      </c>
      <c r="G12" s="45" t="n">
        <v>130</v>
      </c>
    </row>
    <row r="13" customFormat="false" ht="15" hidden="false" customHeight="false" outlineLevel="0" collapsed="false">
      <c r="A13" s="29" t="s">
        <v>14</v>
      </c>
      <c r="B13" s="30" t="n">
        <v>140</v>
      </c>
      <c r="C13" s="31" t="n">
        <v>230</v>
      </c>
      <c r="D13" s="31" t="n">
        <v>200</v>
      </c>
      <c r="E13" s="31" t="n">
        <v>210</v>
      </c>
      <c r="F13" s="31" t="n">
        <v>180</v>
      </c>
      <c r="G13" s="45" t="n">
        <v>200</v>
      </c>
    </row>
    <row r="14" customFormat="false" ht="15" hidden="false" customHeight="false" outlineLevel="0" collapsed="false">
      <c r="A14" s="29" t="s">
        <v>31</v>
      </c>
      <c r="B14" s="30"/>
      <c r="C14" s="31"/>
      <c r="D14" s="31"/>
      <c r="E14" s="31" t="n">
        <v>90</v>
      </c>
      <c r="F14" s="31" t="n">
        <v>110</v>
      </c>
      <c r="G14" s="45" t="n">
        <v>120</v>
      </c>
    </row>
    <row r="15" customFormat="false" ht="15" hidden="false" customHeight="false" outlineLevel="0" collapsed="false">
      <c r="A15" s="29" t="s">
        <v>26</v>
      </c>
      <c r="B15" s="30"/>
      <c r="C15" s="31" t="n">
        <v>190</v>
      </c>
      <c r="D15" s="31" t="n">
        <v>180</v>
      </c>
      <c r="E15" s="31"/>
      <c r="F15" s="31" t="n">
        <v>110</v>
      </c>
      <c r="G15" s="45" t="n">
        <v>120</v>
      </c>
    </row>
    <row r="16" customFormat="false" ht="15" hidden="false" customHeight="false" outlineLevel="0" collapsed="false">
      <c r="A16" s="29" t="s">
        <v>36</v>
      </c>
      <c r="B16" s="30"/>
      <c r="C16" s="31" t="n">
        <v>160</v>
      </c>
      <c r="D16" s="31" t="n">
        <v>150</v>
      </c>
      <c r="E16" s="31"/>
      <c r="F16" s="31"/>
      <c r="G16" s="45"/>
    </row>
    <row r="17" customFormat="false" ht="15" hidden="false" customHeight="false" outlineLevel="0" collapsed="false">
      <c r="A17" s="29" t="s">
        <v>29</v>
      </c>
      <c r="B17" s="30"/>
      <c r="C17" s="31" t="n">
        <v>250</v>
      </c>
      <c r="D17" s="31" t="n">
        <v>250</v>
      </c>
      <c r="E17" s="31"/>
      <c r="F17" s="31"/>
      <c r="G17" s="45"/>
    </row>
    <row r="18" customFormat="false" ht="15" hidden="false" customHeight="false" outlineLevel="0" collapsed="false">
      <c r="A18" s="29" t="s">
        <v>12</v>
      </c>
      <c r="B18" s="30" t="n">
        <v>150</v>
      </c>
      <c r="C18" s="31" t="n">
        <v>250</v>
      </c>
      <c r="D18" s="31" t="n">
        <v>220</v>
      </c>
      <c r="E18" s="31" t="n">
        <v>210</v>
      </c>
      <c r="F18" s="31" t="n">
        <v>-320</v>
      </c>
      <c r="G18" s="45" t="n">
        <v>200</v>
      </c>
    </row>
    <row r="19" customFormat="false" ht="15" hidden="false" customHeight="false" outlineLevel="0" collapsed="false">
      <c r="A19" s="29" t="s">
        <v>55</v>
      </c>
      <c r="B19" s="30"/>
      <c r="C19" s="31"/>
      <c r="D19" s="31" t="n">
        <v>-20</v>
      </c>
      <c r="E19" s="31"/>
      <c r="F19" s="31"/>
      <c r="G19" s="45"/>
    </row>
    <row r="20" customFormat="false" ht="15" hidden="false" customHeight="false" outlineLevel="0" collapsed="false">
      <c r="A20" s="29" t="s">
        <v>41</v>
      </c>
      <c r="B20" s="30"/>
      <c r="C20" s="31"/>
      <c r="D20" s="31" t="n">
        <v>130</v>
      </c>
      <c r="E20" s="31"/>
      <c r="F20" s="31"/>
      <c r="G20" s="45"/>
    </row>
    <row r="21" customFormat="false" ht="15" hidden="false" customHeight="false" outlineLevel="0" collapsed="false">
      <c r="A21" s="29" t="s">
        <v>18</v>
      </c>
      <c r="B21" s="30" t="n">
        <v>140</v>
      </c>
      <c r="C21" s="31" t="n">
        <v>230</v>
      </c>
      <c r="D21" s="31" t="n">
        <v>200</v>
      </c>
      <c r="E21" s="31" t="n">
        <v>180</v>
      </c>
      <c r="F21" s="31" t="n">
        <v>180</v>
      </c>
      <c r="G21" s="45" t="n">
        <v>180</v>
      </c>
    </row>
    <row r="22" customFormat="false" ht="15" hidden="false" customHeight="false" outlineLevel="0" collapsed="false">
      <c r="A22" s="29" t="s">
        <v>52</v>
      </c>
      <c r="B22" s="30"/>
      <c r="C22" s="31"/>
      <c r="D22" s="31" t="n">
        <v>40</v>
      </c>
      <c r="E22" s="31"/>
      <c r="F22" s="31"/>
      <c r="G22" s="45"/>
    </row>
    <row r="23" customFormat="false" ht="15" hidden="false" customHeight="false" outlineLevel="0" collapsed="false">
      <c r="A23" s="29" t="s">
        <v>10</v>
      </c>
      <c r="B23" s="30" t="n">
        <v>190</v>
      </c>
      <c r="C23" s="31" t="n">
        <v>250</v>
      </c>
      <c r="D23" s="31" t="n">
        <v>250</v>
      </c>
      <c r="E23" s="31" t="n">
        <v>250</v>
      </c>
      <c r="F23" s="31" t="n">
        <v>230</v>
      </c>
      <c r="G23" s="45" t="n">
        <v>250</v>
      </c>
    </row>
    <row r="24" customFormat="false" ht="15" hidden="false" customHeight="false" outlineLevel="0" collapsed="false">
      <c r="A24" s="29" t="s">
        <v>44</v>
      </c>
      <c r="B24" s="30"/>
      <c r="C24" s="31"/>
      <c r="D24" s="31" t="n">
        <v>220</v>
      </c>
      <c r="E24" s="31"/>
      <c r="F24" s="31"/>
      <c r="G24" s="45"/>
    </row>
    <row r="25" customFormat="false" ht="15" hidden="false" customHeight="false" outlineLevel="0" collapsed="false">
      <c r="A25" s="29" t="s">
        <v>33</v>
      </c>
      <c r="B25" s="30"/>
      <c r="C25" s="31"/>
      <c r="D25" s="31"/>
      <c r="E25" s="31"/>
      <c r="F25" s="31" t="n">
        <v>180</v>
      </c>
      <c r="G25" s="45" t="n">
        <v>170</v>
      </c>
    </row>
    <row r="26" customFormat="false" ht="15" hidden="false" customHeight="false" outlineLevel="0" collapsed="false">
      <c r="A26" s="29" t="s">
        <v>48</v>
      </c>
      <c r="B26" s="30"/>
      <c r="C26" s="31" t="n">
        <v>-400</v>
      </c>
      <c r="D26" s="31" t="n">
        <v>120</v>
      </c>
      <c r="E26" s="31"/>
      <c r="F26" s="31"/>
      <c r="G26" s="45"/>
    </row>
    <row r="27" customFormat="false" ht="15" hidden="false" customHeight="false" outlineLevel="0" collapsed="false">
      <c r="A27" s="29" t="s">
        <v>58</v>
      </c>
      <c r="B27" s="30"/>
      <c r="C27" s="31"/>
      <c r="D27" s="31"/>
      <c r="E27" s="31"/>
      <c r="F27" s="31"/>
      <c r="G27" s="45" t="n">
        <v>-460</v>
      </c>
    </row>
    <row r="28" customFormat="false" ht="15" hidden="false" customHeight="false" outlineLevel="0" collapsed="false">
      <c r="A28" s="29" t="s">
        <v>38</v>
      </c>
      <c r="B28" s="30"/>
      <c r="C28" s="31" t="n">
        <v>140</v>
      </c>
      <c r="D28" s="31" t="n">
        <v>160</v>
      </c>
      <c r="E28" s="31"/>
      <c r="F28" s="31" t="n">
        <v>-50</v>
      </c>
      <c r="G28" s="45"/>
    </row>
    <row r="29" customFormat="false" ht="15" hidden="false" customHeight="false" outlineLevel="0" collapsed="false">
      <c r="A29" s="29" t="s">
        <v>39</v>
      </c>
      <c r="B29" s="30" t="n">
        <v>100</v>
      </c>
      <c r="C29" s="31"/>
      <c r="D29" s="31"/>
      <c r="E29" s="31"/>
      <c r="F29" s="31" t="n">
        <v>160</v>
      </c>
      <c r="G29" s="45"/>
    </row>
    <row r="30" customFormat="false" ht="15" hidden="false" customHeight="false" outlineLevel="0" collapsed="false">
      <c r="A30" s="29" t="s">
        <v>45</v>
      </c>
      <c r="B30" s="30"/>
      <c r="C30" s="31"/>
      <c r="D30" s="31"/>
      <c r="E30" s="31" t="n">
        <v>160</v>
      </c>
      <c r="F30" s="31"/>
      <c r="G30" s="45"/>
    </row>
    <row r="31" customFormat="false" ht="15" hidden="false" customHeight="false" outlineLevel="0" collapsed="false">
      <c r="A31" s="29" t="s">
        <v>22</v>
      </c>
      <c r="B31" s="30"/>
      <c r="C31" s="31" t="n">
        <v>210</v>
      </c>
      <c r="D31" s="31" t="n">
        <v>180</v>
      </c>
      <c r="E31" s="31" t="n">
        <v>180</v>
      </c>
      <c r="F31" s="31" t="n">
        <v>180</v>
      </c>
      <c r="G31" s="45" t="n">
        <v>80</v>
      </c>
    </row>
    <row r="32" customFormat="false" ht="15" hidden="false" customHeight="false" outlineLevel="0" collapsed="false">
      <c r="A32" s="29" t="s">
        <v>32</v>
      </c>
      <c r="B32" s="30"/>
      <c r="C32" s="31" t="n">
        <v>230</v>
      </c>
      <c r="D32" s="31" t="n">
        <v>220</v>
      </c>
      <c r="E32" s="31"/>
      <c r="F32" s="31"/>
      <c r="G32" s="45"/>
    </row>
    <row r="33" customFormat="false" ht="15" hidden="false" customHeight="false" outlineLevel="0" collapsed="false">
      <c r="A33" s="29" t="s">
        <v>37</v>
      </c>
      <c r="B33" s="30"/>
      <c r="C33" s="31" t="n">
        <v>160</v>
      </c>
      <c r="D33" s="31" t="n">
        <v>140</v>
      </c>
      <c r="E33" s="31"/>
      <c r="F33" s="31"/>
      <c r="G33" s="45"/>
    </row>
    <row r="34" customFormat="false" ht="15" hidden="false" customHeight="false" outlineLevel="0" collapsed="false">
      <c r="A34" s="29" t="s">
        <v>20</v>
      </c>
      <c r="B34" s="30" t="n">
        <v>120</v>
      </c>
      <c r="C34" s="31" t="n">
        <v>180</v>
      </c>
      <c r="D34" s="31" t="n">
        <v>160</v>
      </c>
      <c r="E34" s="31" t="n">
        <v>110</v>
      </c>
      <c r="F34" s="31" t="n">
        <v>160</v>
      </c>
      <c r="G34" s="45" t="n">
        <v>160</v>
      </c>
    </row>
    <row r="35" customFormat="false" ht="15" hidden="false" customHeight="false" outlineLevel="0" collapsed="false">
      <c r="A35" s="29" t="s">
        <v>23</v>
      </c>
      <c r="B35" s="30"/>
      <c r="C35" s="31" t="n">
        <v>220</v>
      </c>
      <c r="D35" s="31" t="n">
        <v>220</v>
      </c>
      <c r="E35" s="31" t="n">
        <v>180</v>
      </c>
      <c r="F35" s="31"/>
      <c r="G35" s="45" t="n">
        <v>180</v>
      </c>
    </row>
    <row r="36" customFormat="false" ht="15" hidden="false" customHeight="false" outlineLevel="0" collapsed="false">
      <c r="A36" s="29" t="s">
        <v>53</v>
      </c>
      <c r="B36" s="30"/>
      <c r="C36" s="31"/>
      <c r="D36" s="31" t="n">
        <v>40</v>
      </c>
      <c r="E36" s="31"/>
      <c r="F36" s="31"/>
      <c r="G36" s="45"/>
    </row>
    <row r="37" customFormat="false" ht="15" hidden="false" customHeight="false" outlineLevel="0" collapsed="false">
      <c r="A37" s="29" t="s">
        <v>27</v>
      </c>
      <c r="B37" s="30"/>
      <c r="C37" s="31" t="n">
        <v>160</v>
      </c>
      <c r="D37" s="31" t="n">
        <v>120</v>
      </c>
      <c r="E37" s="31" t="n">
        <v>50</v>
      </c>
      <c r="F37" s="31" t="n">
        <v>80</v>
      </c>
      <c r="G37" s="45" t="n">
        <v>70</v>
      </c>
    </row>
    <row r="38" customFormat="false" ht="15" hidden="false" customHeight="false" outlineLevel="0" collapsed="false">
      <c r="A38" s="29" t="s">
        <v>25</v>
      </c>
      <c r="B38" s="30"/>
      <c r="C38" s="31" t="n">
        <v>250</v>
      </c>
      <c r="D38" s="31" t="n">
        <v>230</v>
      </c>
      <c r="E38" s="31"/>
      <c r="F38" s="31" t="n">
        <v>180</v>
      </c>
      <c r="G38" s="45"/>
    </row>
    <row r="39" customFormat="false" ht="15" hidden="false" customHeight="false" outlineLevel="0" collapsed="false">
      <c r="A39" s="29" t="s">
        <v>56</v>
      </c>
      <c r="B39" s="30"/>
      <c r="C39" s="31"/>
      <c r="D39" s="31" t="n">
        <v>-20</v>
      </c>
      <c r="E39" s="31"/>
      <c r="F39" s="31"/>
      <c r="G39" s="45"/>
    </row>
    <row r="40" customFormat="false" ht="15" hidden="false" customHeight="false" outlineLevel="0" collapsed="false">
      <c r="A40" s="29" t="s">
        <v>35</v>
      </c>
      <c r="B40" s="30"/>
      <c r="C40" s="31" t="n">
        <v>160</v>
      </c>
      <c r="D40" s="31" t="n">
        <v>170</v>
      </c>
      <c r="E40" s="31"/>
      <c r="F40" s="31"/>
      <c r="G40" s="45"/>
    </row>
    <row r="41" customFormat="false" ht="15" hidden="false" customHeight="false" outlineLevel="0" collapsed="false">
      <c r="A41" s="29" t="s">
        <v>34</v>
      </c>
      <c r="B41" s="30"/>
      <c r="C41" s="31"/>
      <c r="D41" s="31"/>
      <c r="E41" s="31"/>
      <c r="F41" s="31" t="n">
        <v>160</v>
      </c>
      <c r="G41" s="45" t="n">
        <v>170</v>
      </c>
    </row>
    <row r="42" customFormat="false" ht="15" hidden="false" customHeight="false" outlineLevel="0" collapsed="false">
      <c r="A42" s="29" t="s">
        <v>11</v>
      </c>
      <c r="B42" s="30" t="n">
        <v>140</v>
      </c>
      <c r="C42" s="31" t="n">
        <v>250</v>
      </c>
      <c r="D42" s="31" t="n">
        <v>230</v>
      </c>
      <c r="E42" s="31" t="n">
        <v>210</v>
      </c>
      <c r="F42" s="31" t="n">
        <v>210</v>
      </c>
      <c r="G42" s="45" t="n">
        <v>220</v>
      </c>
    </row>
    <row r="43" customFormat="false" ht="15" hidden="false" customHeight="false" outlineLevel="0" collapsed="false">
      <c r="A43" s="29" t="s">
        <v>54</v>
      </c>
      <c r="B43" s="30"/>
      <c r="C43" s="31"/>
      <c r="D43" s="31" t="n">
        <v>40</v>
      </c>
      <c r="E43" s="31"/>
      <c r="F43" s="31"/>
      <c r="G43" s="45"/>
    </row>
    <row r="44" customFormat="false" ht="15" hidden="false" customHeight="false" outlineLevel="0" collapsed="false">
      <c r="A44" s="29" t="s">
        <v>57</v>
      </c>
      <c r="B44" s="30"/>
      <c r="C44" s="31"/>
      <c r="D44" s="31" t="n">
        <v>-20</v>
      </c>
      <c r="E44" s="31"/>
      <c r="F44" s="31"/>
      <c r="G44" s="45"/>
    </row>
    <row r="45" customFormat="false" ht="15" hidden="false" customHeight="false" outlineLevel="0" collapsed="false">
      <c r="A45" s="29" t="s">
        <v>15</v>
      </c>
      <c r="B45" s="30" t="n">
        <v>160</v>
      </c>
      <c r="C45" s="31" t="n">
        <v>230</v>
      </c>
      <c r="D45" s="31" t="n">
        <v>190</v>
      </c>
      <c r="E45" s="31" t="n">
        <v>210</v>
      </c>
      <c r="F45" s="31" t="n">
        <v>180</v>
      </c>
      <c r="G45" s="45" t="n">
        <v>200</v>
      </c>
    </row>
    <row r="46" customFormat="false" ht="15" hidden="false" customHeight="false" outlineLevel="0" collapsed="false">
      <c r="A46" s="29" t="s">
        <v>46</v>
      </c>
      <c r="B46" s="30"/>
      <c r="C46" s="31"/>
      <c r="D46" s="31"/>
      <c r="E46" s="31"/>
      <c r="F46" s="31" t="n">
        <v>140</v>
      </c>
      <c r="G46" s="45"/>
    </row>
    <row r="47" customFormat="false" ht="15" hidden="false" customHeight="false" outlineLevel="0" collapsed="false">
      <c r="A47" s="29" t="s">
        <v>21</v>
      </c>
      <c r="B47" s="30" t="n">
        <v>60</v>
      </c>
      <c r="C47" s="31" t="n">
        <v>160</v>
      </c>
      <c r="D47" s="31" t="n">
        <v>130</v>
      </c>
      <c r="E47" s="31" t="n">
        <v>140</v>
      </c>
      <c r="F47" s="31" t="n">
        <v>140</v>
      </c>
      <c r="G47" s="45" t="n">
        <v>130</v>
      </c>
    </row>
    <row r="48" customFormat="false" ht="15" hidden="false" customHeight="false" outlineLevel="0" collapsed="false">
      <c r="A48" s="29" t="s">
        <v>42</v>
      </c>
      <c r="B48" s="30"/>
      <c r="C48" s="31"/>
      <c r="D48" s="31"/>
      <c r="E48" s="31" t="n">
        <v>140</v>
      </c>
      <c r="F48" s="31"/>
      <c r="G48" s="45"/>
    </row>
    <row r="49" customFormat="false" ht="15" hidden="false" customHeight="false" outlineLevel="0" collapsed="false">
      <c r="A49" s="29" t="s">
        <v>19</v>
      </c>
      <c r="B49" s="30" t="n">
        <v>100</v>
      </c>
      <c r="C49" s="31" t="n">
        <v>250</v>
      </c>
      <c r="D49" s="31" t="n">
        <v>250</v>
      </c>
      <c r="E49" s="31" t="n">
        <v>250</v>
      </c>
      <c r="F49" s="31" t="n">
        <v>220</v>
      </c>
      <c r="G49" s="45"/>
    </row>
    <row r="50" customFormat="false" ht="15" hidden="false" customHeight="false" outlineLevel="0" collapsed="false">
      <c r="A50" s="46" t="s">
        <v>50</v>
      </c>
      <c r="B50" s="47"/>
      <c r="C50" s="48"/>
      <c r="D50" s="48" t="n">
        <v>70</v>
      </c>
      <c r="E50" s="48"/>
      <c r="F50" s="48"/>
      <c r="G50" s="49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</TotalTime>
  <Application>LibreOffice/25.2.3.2$Linux_X86_64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2025-06-16T21:13:00Z</dcterms:created>
  <dc:creator>Steve Sanders</dc:creator>
  <dc:description/>
  <dc:language>en-GB</dc:language>
  <cp:lastModifiedBy/>
  <dcterms:modified xsi:type="dcterms:W3CDTF">2026-01-09T10:38:18Z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